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ssler\Desktop\SubOcean-GF - Copie\Discretegas\GF2024\Bruno-calculations\"/>
    </mc:Choice>
  </mc:AlternateContent>
  <xr:revisionPtr revIDLastSave="0" documentId="13_ncr:1_{B5A356C5-92A3-4D71-AA5F-FEBBB21FF1D6}" xr6:coauthVersionLast="47" xr6:coauthVersionMax="47" xr10:uidLastSave="{00000000-0000-0000-0000-000000000000}"/>
  <bookViews>
    <workbookView xWindow="-38520" yWindow="-120" windowWidth="38640" windowHeight="21120" activeTab="1" xr2:uid="{5030BB07-44D0-BB47-8A6C-87004F852169}"/>
  </bookViews>
  <sheets>
    <sheet name="N2O" sheetId="2" r:id="rId1"/>
    <sheet name="CH4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9" i="1" l="1"/>
  <c r="W10" i="1"/>
  <c r="W11" i="1"/>
  <c r="W12" i="1"/>
  <c r="W13" i="1"/>
  <c r="W14" i="1"/>
  <c r="W16" i="1"/>
  <c r="W18" i="1"/>
  <c r="W20" i="1"/>
  <c r="W23" i="1"/>
  <c r="W24" i="1"/>
  <c r="W26" i="1"/>
  <c r="W27" i="1"/>
  <c r="W29" i="1"/>
  <c r="W30" i="1"/>
  <c r="W31" i="1"/>
  <c r="W32" i="1"/>
  <c r="W33" i="1"/>
  <c r="W35" i="1"/>
  <c r="W36" i="1"/>
  <c r="W37" i="1"/>
  <c r="W39" i="1"/>
  <c r="W47" i="1"/>
  <c r="W48" i="1"/>
  <c r="W49" i="1"/>
  <c r="W50" i="1"/>
  <c r="W51" i="1"/>
  <c r="W52" i="1"/>
  <c r="W53" i="1"/>
  <c r="W54" i="1"/>
  <c r="W55" i="1"/>
  <c r="W56" i="1"/>
  <c r="W57" i="1"/>
  <c r="W59" i="1"/>
  <c r="W60" i="1"/>
  <c r="W61" i="1"/>
  <c r="W62" i="1"/>
  <c r="W63" i="1"/>
  <c r="W64" i="1"/>
  <c r="W66" i="1"/>
  <c r="W67" i="1"/>
  <c r="W68" i="1"/>
  <c r="W69" i="1"/>
  <c r="W70" i="1"/>
  <c r="W71" i="1"/>
  <c r="W72" i="1"/>
  <c r="W73" i="1"/>
  <c r="W74" i="1"/>
  <c r="W75" i="1"/>
  <c r="W76" i="1"/>
  <c r="W77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5" i="1"/>
  <c r="W96" i="1"/>
  <c r="W97" i="1"/>
  <c r="W99" i="1"/>
  <c r="W100" i="1"/>
  <c r="W101" i="1"/>
  <c r="W102" i="1"/>
  <c r="W103" i="1"/>
  <c r="W104" i="1"/>
  <c r="W105" i="1"/>
  <c r="W106" i="1"/>
  <c r="W107" i="1"/>
  <c r="W108" i="1"/>
  <c r="W8" i="1"/>
  <c r="W10" i="2"/>
  <c r="W11" i="2"/>
  <c r="W12" i="2"/>
  <c r="W13" i="2"/>
  <c r="W14" i="2"/>
  <c r="W15" i="2"/>
  <c r="W16" i="2"/>
  <c r="W18" i="2"/>
  <c r="W20" i="2"/>
  <c r="W22" i="2"/>
  <c r="W25" i="2"/>
  <c r="W26" i="2"/>
  <c r="W28" i="2"/>
  <c r="W29" i="2"/>
  <c r="W31" i="2"/>
  <c r="W32" i="2"/>
  <c r="W33" i="2"/>
  <c r="W34" i="2"/>
  <c r="W35" i="2"/>
  <c r="W37" i="2"/>
  <c r="W38" i="2"/>
  <c r="W39" i="2"/>
  <c r="W41" i="2"/>
  <c r="W49" i="2"/>
  <c r="W50" i="2"/>
  <c r="W51" i="2"/>
  <c r="W52" i="2"/>
  <c r="W53" i="2"/>
  <c r="W54" i="2"/>
  <c r="W55" i="2"/>
  <c r="W56" i="2"/>
  <c r="W57" i="2"/>
  <c r="W58" i="2"/>
  <c r="W59" i="2"/>
  <c r="W61" i="2"/>
  <c r="W62" i="2"/>
  <c r="W63" i="2"/>
  <c r="W64" i="2"/>
  <c r="W65" i="2"/>
  <c r="W66" i="2"/>
  <c r="W68" i="2"/>
  <c r="W69" i="2"/>
  <c r="W70" i="2"/>
  <c r="W71" i="2"/>
  <c r="W72" i="2"/>
  <c r="W73" i="2"/>
  <c r="W74" i="2"/>
  <c r="W75" i="2"/>
  <c r="W76" i="2"/>
  <c r="W77" i="2"/>
  <c r="W78" i="2"/>
  <c r="W79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7" i="2"/>
  <c r="W98" i="2"/>
  <c r="W99" i="2"/>
  <c r="W101" i="2"/>
  <c r="W102" i="2"/>
  <c r="W103" i="2"/>
  <c r="W104" i="2"/>
  <c r="W105" i="2"/>
  <c r="W106" i="2"/>
  <c r="W107" i="2"/>
  <c r="W108" i="2"/>
  <c r="W109" i="2"/>
  <c r="W110" i="2"/>
  <c r="S6" i="1"/>
  <c r="S7" i="1"/>
  <c r="S8" i="1" s="1"/>
  <c r="S9" i="1" s="1"/>
  <c r="S10" i="1" s="1"/>
  <c r="S11" i="1" s="1"/>
  <c r="S12" i="1" s="1"/>
  <c r="S13" i="1" s="1"/>
  <c r="S14" i="1" s="1"/>
  <c r="S15" i="1" s="1"/>
  <c r="S16" i="1" s="1"/>
  <c r="S17" i="1" s="1"/>
  <c r="S18" i="1" s="1"/>
  <c r="S19" i="1" s="1"/>
  <c r="S20" i="1" s="1"/>
  <c r="S21" i="1" s="1"/>
  <c r="S22" i="1" s="1"/>
  <c r="S23" i="1" s="1"/>
  <c r="S24" i="1" s="1"/>
  <c r="S25" i="1" s="1"/>
  <c r="S26" i="1" s="1"/>
  <c r="S27" i="1" s="1"/>
  <c r="S28" i="1" s="1"/>
  <c r="S29" i="1" s="1"/>
  <c r="S30" i="1" s="1"/>
  <c r="S31" i="1" s="1"/>
  <c r="S32" i="1" s="1"/>
  <c r="S33" i="1" s="1"/>
  <c r="S34" i="1" s="1"/>
  <c r="S35" i="1" s="1"/>
  <c r="S36" i="1" s="1"/>
  <c r="S37" i="1" s="1"/>
  <c r="S38" i="1" s="1"/>
  <c r="S39" i="1" s="1"/>
  <c r="S40" i="1" s="1"/>
  <c r="S41" i="1" s="1"/>
  <c r="S42" i="1" s="1"/>
  <c r="S43" i="1" s="1"/>
  <c r="S44" i="1" s="1"/>
  <c r="S45" i="1" s="1"/>
  <c r="S46" i="1" s="1"/>
  <c r="S47" i="1" s="1"/>
  <c r="S48" i="1" s="1"/>
  <c r="S49" i="1" s="1"/>
  <c r="S50" i="1" s="1"/>
  <c r="S51" i="1" s="1"/>
  <c r="S52" i="1" s="1"/>
  <c r="S53" i="1" s="1"/>
  <c r="S54" i="1" s="1"/>
  <c r="S55" i="1" s="1"/>
  <c r="S56" i="1" s="1"/>
  <c r="S57" i="1" s="1"/>
  <c r="S58" i="1" s="1"/>
  <c r="S59" i="1" s="1"/>
  <c r="S60" i="1" s="1"/>
  <c r="S61" i="1" s="1"/>
  <c r="S62" i="1" s="1"/>
  <c r="S63" i="1" s="1"/>
  <c r="S64" i="1" s="1"/>
  <c r="S65" i="1" s="1"/>
  <c r="S66" i="1" s="1"/>
  <c r="S67" i="1" s="1"/>
  <c r="S68" i="1" s="1"/>
  <c r="S69" i="1" s="1"/>
  <c r="S70" i="1" s="1"/>
  <c r="S71" i="1" s="1"/>
  <c r="S72" i="1" s="1"/>
  <c r="S73" i="1" s="1"/>
  <c r="S74" i="1" s="1"/>
  <c r="S75" i="1" s="1"/>
  <c r="S76" i="1" s="1"/>
  <c r="S77" i="1" s="1"/>
  <c r="S78" i="1" s="1"/>
  <c r="S79" i="1" s="1"/>
  <c r="S80" i="1" s="1"/>
  <c r="S81" i="1" s="1"/>
  <c r="S82" i="1" s="1"/>
  <c r="S83" i="1" s="1"/>
  <c r="S84" i="1" s="1"/>
  <c r="S85" i="1" s="1"/>
  <c r="S86" i="1" s="1"/>
  <c r="S87" i="1" s="1"/>
  <c r="S88" i="1" s="1"/>
  <c r="S89" i="1" s="1"/>
  <c r="S90" i="1" s="1"/>
  <c r="S91" i="1" s="1"/>
  <c r="S92" i="1" s="1"/>
  <c r="S93" i="1" s="1"/>
  <c r="S94" i="1" s="1"/>
  <c r="S95" i="1" s="1"/>
  <c r="S96" i="1" s="1"/>
  <c r="S97" i="1" s="1"/>
  <c r="S98" i="1" s="1"/>
  <c r="S99" i="1" s="1"/>
  <c r="S100" i="1" s="1"/>
  <c r="S101" i="1" s="1"/>
  <c r="S102" i="1" s="1"/>
  <c r="S103" i="1" s="1"/>
  <c r="S104" i="1" s="1"/>
  <c r="S105" i="1" s="1"/>
  <c r="S106" i="1" s="1"/>
  <c r="S107" i="1" s="1"/>
  <c r="S108" i="1" s="1"/>
  <c r="U7" i="1"/>
  <c r="U8" i="1" s="1"/>
  <c r="U9" i="1" s="1"/>
  <c r="U10" i="1" s="1"/>
  <c r="U11" i="1" s="1"/>
  <c r="U12" i="1" s="1"/>
  <c r="U13" i="1" s="1"/>
  <c r="U14" i="1" s="1"/>
  <c r="U15" i="1" s="1"/>
  <c r="U16" i="1" s="1"/>
  <c r="U17" i="1" s="1"/>
  <c r="U18" i="1" s="1"/>
  <c r="U19" i="1" s="1"/>
  <c r="U20" i="1" s="1"/>
  <c r="U21" i="1" s="1"/>
  <c r="U22" i="1" s="1"/>
  <c r="U23" i="1" s="1"/>
  <c r="U24" i="1" s="1"/>
  <c r="U25" i="1" s="1"/>
  <c r="U26" i="1" s="1"/>
  <c r="U27" i="1" s="1"/>
  <c r="U28" i="1" s="1"/>
  <c r="U29" i="1" s="1"/>
  <c r="U30" i="1" s="1"/>
  <c r="U31" i="1" s="1"/>
  <c r="U32" i="1" s="1"/>
  <c r="U33" i="1" s="1"/>
  <c r="U34" i="1" s="1"/>
  <c r="U35" i="1" s="1"/>
  <c r="U36" i="1" s="1"/>
  <c r="U37" i="1" s="1"/>
  <c r="U38" i="1" s="1"/>
  <c r="U39" i="1" s="1"/>
  <c r="U40" i="1" s="1"/>
  <c r="U41" i="1" s="1"/>
  <c r="U42" i="1" s="1"/>
  <c r="U43" i="1" s="1"/>
  <c r="U44" i="1" s="1"/>
  <c r="U45" i="1" s="1"/>
  <c r="U46" i="1" s="1"/>
  <c r="U47" i="1" s="1"/>
  <c r="U48" i="1" s="1"/>
  <c r="U49" i="1" s="1"/>
  <c r="U50" i="1" s="1"/>
  <c r="U51" i="1" s="1"/>
  <c r="U52" i="1" s="1"/>
  <c r="U53" i="1" s="1"/>
  <c r="U54" i="1" s="1"/>
  <c r="U55" i="1" s="1"/>
  <c r="U56" i="1" s="1"/>
  <c r="U57" i="1" s="1"/>
  <c r="U58" i="1" s="1"/>
  <c r="U59" i="1" s="1"/>
  <c r="U60" i="1" s="1"/>
  <c r="U61" i="1" s="1"/>
  <c r="U62" i="1" s="1"/>
  <c r="U63" i="1" s="1"/>
  <c r="U64" i="1" s="1"/>
  <c r="U65" i="1" s="1"/>
  <c r="U66" i="1" s="1"/>
  <c r="U67" i="1" s="1"/>
  <c r="U68" i="1" s="1"/>
  <c r="U69" i="1" s="1"/>
  <c r="U70" i="1" s="1"/>
  <c r="U71" i="1" s="1"/>
  <c r="U72" i="1" s="1"/>
  <c r="U73" i="1" s="1"/>
  <c r="U74" i="1" s="1"/>
  <c r="U75" i="1" s="1"/>
  <c r="U76" i="1" s="1"/>
  <c r="U77" i="1" s="1"/>
  <c r="U78" i="1" s="1"/>
  <c r="U79" i="1" s="1"/>
  <c r="U80" i="1" s="1"/>
  <c r="U81" i="1" s="1"/>
  <c r="U82" i="1" s="1"/>
  <c r="U83" i="1" s="1"/>
  <c r="U84" i="1" s="1"/>
  <c r="U85" i="1" s="1"/>
  <c r="U86" i="1" s="1"/>
  <c r="U87" i="1" s="1"/>
  <c r="U88" i="1" s="1"/>
  <c r="U89" i="1" s="1"/>
  <c r="U90" i="1" s="1"/>
  <c r="U91" i="1" s="1"/>
  <c r="U92" i="1" s="1"/>
  <c r="U93" i="1" s="1"/>
  <c r="U94" i="1" s="1"/>
  <c r="U95" i="1" s="1"/>
  <c r="U96" i="1" s="1"/>
  <c r="U97" i="1" s="1"/>
  <c r="U98" i="1" s="1"/>
  <c r="U99" i="1" s="1"/>
  <c r="U100" i="1" s="1"/>
  <c r="U101" i="1" s="1"/>
  <c r="U102" i="1" s="1"/>
  <c r="U103" i="1" s="1"/>
  <c r="U104" i="1" s="1"/>
  <c r="U105" i="1" s="1"/>
  <c r="U106" i="1" s="1"/>
  <c r="U107" i="1" s="1"/>
  <c r="U108" i="1" s="1"/>
  <c r="U6" i="1"/>
  <c r="R20" i="1"/>
  <c r="R21" i="1"/>
  <c r="R22" i="1"/>
  <c r="R23" i="1"/>
  <c r="R24" i="1"/>
  <c r="R25" i="1"/>
  <c r="R32" i="1"/>
  <c r="R33" i="1"/>
  <c r="R34" i="1"/>
  <c r="R35" i="1"/>
  <c r="R36" i="1"/>
  <c r="R44" i="1"/>
  <c r="R45" i="1"/>
  <c r="R46" i="1"/>
  <c r="R47" i="1"/>
  <c r="R48" i="1"/>
  <c r="R49" i="1"/>
  <c r="R56" i="1"/>
  <c r="R57" i="1"/>
  <c r="R58" i="1"/>
  <c r="R59" i="1"/>
  <c r="R60" i="1"/>
  <c r="R68" i="1"/>
  <c r="R69" i="1"/>
  <c r="R70" i="1"/>
  <c r="R71" i="1"/>
  <c r="R72" i="1"/>
  <c r="R73" i="1"/>
  <c r="R80" i="1"/>
  <c r="R81" i="1"/>
  <c r="R82" i="1"/>
  <c r="R83" i="1"/>
  <c r="R84" i="1"/>
  <c r="R92" i="1"/>
  <c r="R93" i="1"/>
  <c r="R94" i="1"/>
  <c r="R95" i="1"/>
  <c r="R96" i="1"/>
  <c r="R97" i="1"/>
  <c r="R104" i="1"/>
  <c r="R105" i="1"/>
  <c r="R106" i="1"/>
  <c r="R107" i="1"/>
  <c r="R108" i="1"/>
  <c r="U10" i="2"/>
  <c r="U11" i="2"/>
  <c r="U12" i="2"/>
  <c r="U13" i="2"/>
  <c r="U14" i="2"/>
  <c r="U22" i="2"/>
  <c r="U23" i="2"/>
  <c r="U24" i="2"/>
  <c r="U25" i="2"/>
  <c r="U26" i="2"/>
  <c r="U32" i="2"/>
  <c r="U33" i="2"/>
  <c r="U34" i="2"/>
  <c r="U35" i="2"/>
  <c r="U36" i="2"/>
  <c r="U37" i="2"/>
  <c r="U38" i="2"/>
  <c r="U46" i="2"/>
  <c r="U47" i="2"/>
  <c r="U48" i="2"/>
  <c r="U49" i="2"/>
  <c r="U50" i="2"/>
  <c r="U56" i="2"/>
  <c r="U58" i="2"/>
  <c r="U59" i="2"/>
  <c r="U60" i="2"/>
  <c r="U61" i="2"/>
  <c r="U62" i="2"/>
  <c r="U70" i="2"/>
  <c r="U71" i="2"/>
  <c r="U72" i="2"/>
  <c r="U73" i="2"/>
  <c r="U74" i="2"/>
  <c r="U82" i="2"/>
  <c r="U83" i="2"/>
  <c r="U84" i="2"/>
  <c r="U85" i="2"/>
  <c r="U86" i="2"/>
  <c r="U87" i="2"/>
  <c r="U94" i="2"/>
  <c r="U95" i="2"/>
  <c r="U96" i="2"/>
  <c r="U97" i="2"/>
  <c r="U98" i="2"/>
  <c r="U106" i="2"/>
  <c r="U107" i="2"/>
  <c r="U108" i="2"/>
  <c r="U109" i="2"/>
  <c r="U110" i="2"/>
  <c r="T9" i="2"/>
  <c r="T10" i="2"/>
  <c r="T11" i="2"/>
  <c r="T12" i="2"/>
  <c r="T13" i="2"/>
  <c r="T14" i="2"/>
  <c r="T15" i="2" s="1"/>
  <c r="T16" i="2" s="1"/>
  <c r="T17" i="2" s="1"/>
  <c r="T18" i="2" s="1"/>
  <c r="T19" i="2" s="1"/>
  <c r="T20" i="2"/>
  <c r="T21" i="2" s="1"/>
  <c r="T22" i="2" s="1"/>
  <c r="T23" i="2" s="1"/>
  <c r="T24" i="2" s="1"/>
  <c r="T25" i="2" s="1"/>
  <c r="T26" i="2"/>
  <c r="T27" i="2" s="1"/>
  <c r="T28" i="2" s="1"/>
  <c r="T29" i="2" s="1"/>
  <c r="T30" i="2" s="1"/>
  <c r="T31" i="2" s="1"/>
  <c r="T32" i="2" s="1"/>
  <c r="T33" i="2" s="1"/>
  <c r="T34" i="2" s="1"/>
  <c r="T35" i="2" s="1"/>
  <c r="T36" i="2" s="1"/>
  <c r="T37" i="2" s="1"/>
  <c r="T38" i="2"/>
  <c r="T39" i="2" s="1"/>
  <c r="T40" i="2" s="1"/>
  <c r="T41" i="2" s="1"/>
  <c r="T42" i="2" s="1"/>
  <c r="T43" i="2" s="1"/>
  <c r="T44" i="2" s="1"/>
  <c r="T45" i="2" s="1"/>
  <c r="T46" i="2" s="1"/>
  <c r="T47" i="2" s="1"/>
  <c r="T48" i="2" s="1"/>
  <c r="T49" i="2" s="1"/>
  <c r="T50" i="2" s="1"/>
  <c r="T51" i="2" s="1"/>
  <c r="T52" i="2" s="1"/>
  <c r="T53" i="2" s="1"/>
  <c r="T54" i="2" s="1"/>
  <c r="T55" i="2" s="1"/>
  <c r="T56" i="2" s="1"/>
  <c r="T57" i="2" s="1"/>
  <c r="T58" i="2" s="1"/>
  <c r="T59" i="2" s="1"/>
  <c r="T60" i="2" s="1"/>
  <c r="T61" i="2" s="1"/>
  <c r="T62" i="2" s="1"/>
  <c r="T63" i="2" s="1"/>
  <c r="T64" i="2" s="1"/>
  <c r="T65" i="2" s="1"/>
  <c r="T66" i="2" s="1"/>
  <c r="T67" i="2" s="1"/>
  <c r="T68" i="2" s="1"/>
  <c r="T69" i="2" s="1"/>
  <c r="T70" i="2" s="1"/>
  <c r="T71" i="2" s="1"/>
  <c r="T72" i="2" s="1"/>
  <c r="T73" i="2" s="1"/>
  <c r="T74" i="2" s="1"/>
  <c r="T75" i="2" s="1"/>
  <c r="T76" i="2" s="1"/>
  <c r="T77" i="2" s="1"/>
  <c r="T78" i="2" s="1"/>
  <c r="T79" i="2" s="1"/>
  <c r="T80" i="2" s="1"/>
  <c r="T81" i="2" s="1"/>
  <c r="T82" i="2" s="1"/>
  <c r="T83" i="2" s="1"/>
  <c r="T84" i="2" s="1"/>
  <c r="T85" i="2" s="1"/>
  <c r="T86" i="2" s="1"/>
  <c r="T87" i="2" s="1"/>
  <c r="T88" i="2" s="1"/>
  <c r="T89" i="2" s="1"/>
  <c r="T90" i="2" s="1"/>
  <c r="T91" i="2" s="1"/>
  <c r="T92" i="2" s="1"/>
  <c r="T93" i="2" s="1"/>
  <c r="T94" i="2" s="1"/>
  <c r="T95" i="2" s="1"/>
  <c r="T96" i="2" s="1"/>
  <c r="T97" i="2" s="1"/>
  <c r="T98" i="2" s="1"/>
  <c r="T99" i="2" s="1"/>
  <c r="T100" i="2" s="1"/>
  <c r="T101" i="2" s="1"/>
  <c r="T102" i="2" s="1"/>
  <c r="T103" i="2" s="1"/>
  <c r="T104" i="2" s="1"/>
  <c r="T105" i="2" s="1"/>
  <c r="T106" i="2" s="1"/>
  <c r="T107" i="2" s="1"/>
  <c r="T108" i="2" s="1"/>
  <c r="T109" i="2" s="1"/>
  <c r="T110" i="2" s="1"/>
  <c r="T8" i="2"/>
  <c r="S8" i="2"/>
  <c r="S9" i="2" s="1"/>
  <c r="R8" i="2"/>
  <c r="R6" i="1" s="1"/>
  <c r="R9" i="2"/>
  <c r="R7" i="1" s="1"/>
  <c r="R10" i="2"/>
  <c r="R8" i="1" s="1"/>
  <c r="R11" i="2"/>
  <c r="R9" i="1" s="1"/>
  <c r="R12" i="2"/>
  <c r="R10" i="1" s="1"/>
  <c r="R13" i="2"/>
  <c r="R11" i="1" s="1"/>
  <c r="R14" i="2"/>
  <c r="R12" i="1" s="1"/>
  <c r="R15" i="2"/>
  <c r="R16" i="2"/>
  <c r="R17" i="2"/>
  <c r="R18" i="2"/>
  <c r="R19" i="2"/>
  <c r="R20" i="2"/>
  <c r="R18" i="1" s="1"/>
  <c r="R21" i="2"/>
  <c r="R19" i="1" s="1"/>
  <c r="R22" i="2"/>
  <c r="R23" i="2"/>
  <c r="R24" i="2"/>
  <c r="R25" i="2"/>
  <c r="R26" i="2"/>
  <c r="R27" i="2"/>
  <c r="U27" i="2" s="1"/>
  <c r="R28" i="2"/>
  <c r="R29" i="2"/>
  <c r="R30" i="2"/>
  <c r="R31" i="2"/>
  <c r="R32" i="2"/>
  <c r="R30" i="1" s="1"/>
  <c r="R33" i="2"/>
  <c r="R31" i="1" s="1"/>
  <c r="R34" i="2"/>
  <c r="R35" i="2"/>
  <c r="R36" i="2"/>
  <c r="R37" i="2"/>
  <c r="R38" i="2"/>
  <c r="R39" i="2"/>
  <c r="U39" i="2" s="1"/>
  <c r="R40" i="2"/>
  <c r="R41" i="2"/>
  <c r="R42" i="2"/>
  <c r="R43" i="2"/>
  <c r="R44" i="2"/>
  <c r="R42" i="1" s="1"/>
  <c r="R45" i="2"/>
  <c r="R43" i="1" s="1"/>
  <c r="R46" i="2"/>
  <c r="R47" i="2"/>
  <c r="R48" i="2"/>
  <c r="R49" i="2"/>
  <c r="R50" i="2"/>
  <c r="R51" i="2"/>
  <c r="U51" i="2" s="1"/>
  <c r="R52" i="2"/>
  <c r="R53" i="2"/>
  <c r="R54" i="2"/>
  <c r="R55" i="2"/>
  <c r="R56" i="2"/>
  <c r="R54" i="1" s="1"/>
  <c r="R57" i="2"/>
  <c r="R55" i="1" s="1"/>
  <c r="R58" i="2"/>
  <c r="R59" i="2"/>
  <c r="R60" i="2"/>
  <c r="R61" i="2"/>
  <c r="R62" i="2"/>
  <c r="R63" i="2"/>
  <c r="U63" i="2" s="1"/>
  <c r="R64" i="2"/>
  <c r="R65" i="2"/>
  <c r="R66" i="2"/>
  <c r="R67" i="2"/>
  <c r="R65" i="1" s="1"/>
  <c r="R68" i="2"/>
  <c r="R69" i="2"/>
  <c r="R67" i="1" s="1"/>
  <c r="R70" i="2"/>
  <c r="R71" i="2"/>
  <c r="R72" i="2"/>
  <c r="R73" i="2"/>
  <c r="R74" i="2"/>
  <c r="R75" i="2"/>
  <c r="U75" i="2" s="1"/>
  <c r="R76" i="2"/>
  <c r="R77" i="2"/>
  <c r="R78" i="2"/>
  <c r="R79" i="2"/>
  <c r="R80" i="2"/>
  <c r="R81" i="2"/>
  <c r="R79" i="1" s="1"/>
  <c r="R82" i="2"/>
  <c r="R83" i="2"/>
  <c r="R84" i="2"/>
  <c r="R85" i="2"/>
  <c r="R86" i="2"/>
  <c r="R87" i="2"/>
  <c r="R85" i="1" s="1"/>
  <c r="R88" i="2"/>
  <c r="R89" i="2"/>
  <c r="R90" i="2"/>
  <c r="R91" i="2"/>
  <c r="R92" i="2"/>
  <c r="R93" i="2"/>
  <c r="R91" i="1" s="1"/>
  <c r="R94" i="2"/>
  <c r="R95" i="2"/>
  <c r="R96" i="2"/>
  <c r="R97" i="2"/>
  <c r="R98" i="2"/>
  <c r="R99" i="2"/>
  <c r="U99" i="2" s="1"/>
  <c r="R100" i="2"/>
  <c r="R101" i="2"/>
  <c r="R102" i="2"/>
  <c r="R103" i="2"/>
  <c r="R104" i="2"/>
  <c r="R105" i="2"/>
  <c r="R103" i="1" s="1"/>
  <c r="R106" i="2"/>
  <c r="R107" i="2"/>
  <c r="R108" i="2"/>
  <c r="R109" i="2"/>
  <c r="R110" i="2"/>
  <c r="R7" i="2"/>
  <c r="R102" i="1" l="1"/>
  <c r="U104" i="2"/>
  <c r="R90" i="1"/>
  <c r="U92" i="2"/>
  <c r="R78" i="1"/>
  <c r="U80" i="2"/>
  <c r="R66" i="1"/>
  <c r="U68" i="2"/>
  <c r="U93" i="2"/>
  <c r="U9" i="2"/>
  <c r="V9" i="2" s="1"/>
  <c r="R101" i="1"/>
  <c r="U103" i="2"/>
  <c r="R89" i="1"/>
  <c r="U91" i="2"/>
  <c r="R77" i="1"/>
  <c r="U79" i="2"/>
  <c r="R53" i="1"/>
  <c r="U55" i="2"/>
  <c r="R41" i="1"/>
  <c r="U43" i="2"/>
  <c r="R29" i="1"/>
  <c r="U31" i="2"/>
  <c r="U19" i="2"/>
  <c r="R17" i="1"/>
  <c r="U8" i="2"/>
  <c r="V8" i="2" s="1"/>
  <c r="R100" i="1"/>
  <c r="U102" i="2"/>
  <c r="R88" i="1"/>
  <c r="U90" i="2"/>
  <c r="R76" i="1"/>
  <c r="U78" i="2"/>
  <c r="R64" i="1"/>
  <c r="U66" i="2"/>
  <c r="R52" i="1"/>
  <c r="U54" i="2"/>
  <c r="R40" i="1"/>
  <c r="U42" i="2"/>
  <c r="R28" i="1"/>
  <c r="U30" i="2"/>
  <c r="U18" i="2"/>
  <c r="R16" i="1"/>
  <c r="U69" i="2"/>
  <c r="R99" i="1"/>
  <c r="U101" i="2"/>
  <c r="R87" i="1"/>
  <c r="U89" i="2"/>
  <c r="R75" i="1"/>
  <c r="U77" i="2"/>
  <c r="R63" i="1"/>
  <c r="U65" i="2"/>
  <c r="R51" i="1"/>
  <c r="U53" i="2"/>
  <c r="R39" i="1"/>
  <c r="U41" i="2"/>
  <c r="R27" i="1"/>
  <c r="U29" i="2"/>
  <c r="U17" i="2"/>
  <c r="R15" i="1"/>
  <c r="U45" i="2"/>
  <c r="R98" i="1"/>
  <c r="U100" i="2"/>
  <c r="R86" i="1"/>
  <c r="U88" i="2"/>
  <c r="R74" i="1"/>
  <c r="U76" i="2"/>
  <c r="R62" i="1"/>
  <c r="U64" i="2"/>
  <c r="R50" i="1"/>
  <c r="U52" i="2"/>
  <c r="R38" i="1"/>
  <c r="U40" i="2"/>
  <c r="R26" i="1"/>
  <c r="U28" i="2"/>
  <c r="R14" i="1"/>
  <c r="U16" i="2"/>
  <c r="U44" i="2"/>
  <c r="U15" i="2"/>
  <c r="R13" i="1"/>
  <c r="U105" i="2"/>
  <c r="U21" i="2"/>
  <c r="U20" i="2"/>
  <c r="U81" i="2"/>
  <c r="R61" i="1"/>
  <c r="R37" i="1"/>
  <c r="U57" i="2"/>
  <c r="S10" i="2"/>
  <c r="U7" i="2"/>
  <c r="V7" i="2" s="1"/>
  <c r="R5" i="1"/>
  <c r="S11" i="2" l="1"/>
  <c r="V10" i="2"/>
  <c r="S12" i="2" l="1"/>
  <c r="V11" i="2"/>
  <c r="U5" i="1"/>
  <c r="T5" i="1"/>
  <c r="T6" i="1" s="1"/>
  <c r="G5" i="1"/>
  <c r="S13" i="2" l="1"/>
  <c r="V12" i="2"/>
  <c r="T7" i="1"/>
  <c r="V6" i="1"/>
  <c r="V5" i="1"/>
  <c r="S14" i="2" l="1"/>
  <c r="V13" i="2"/>
  <c r="T8" i="1"/>
  <c r="V7" i="1"/>
  <c r="S15" i="2" l="1"/>
  <c r="V14" i="2"/>
  <c r="T9" i="1"/>
  <c r="V8" i="1"/>
  <c r="S16" i="2" l="1"/>
  <c r="V15" i="2"/>
  <c r="T10" i="1"/>
  <c r="V9" i="1"/>
  <c r="S17" i="2" l="1"/>
  <c r="V16" i="2"/>
  <c r="T11" i="1"/>
  <c r="V10" i="1"/>
  <c r="S18" i="2" l="1"/>
  <c r="V17" i="2"/>
  <c r="T12" i="1"/>
  <c r="V11" i="1"/>
  <c r="S19" i="2" l="1"/>
  <c r="V18" i="2"/>
  <c r="T13" i="1"/>
  <c r="V12" i="1"/>
  <c r="S20" i="2" l="1"/>
  <c r="V19" i="2"/>
  <c r="T14" i="1"/>
  <c r="V13" i="1"/>
  <c r="S21" i="2" l="1"/>
  <c r="V20" i="2"/>
  <c r="T15" i="1"/>
  <c r="V14" i="1"/>
  <c r="S22" i="2" l="1"/>
  <c r="V21" i="2"/>
  <c r="T16" i="1"/>
  <c r="V15" i="1"/>
  <c r="S23" i="2" l="1"/>
  <c r="V22" i="2"/>
  <c r="T17" i="1"/>
  <c r="V16" i="1"/>
  <c r="S24" i="2" l="1"/>
  <c r="V23" i="2"/>
  <c r="T18" i="1"/>
  <c r="V17" i="1"/>
  <c r="S25" i="2" l="1"/>
  <c r="V24" i="2"/>
  <c r="T19" i="1"/>
  <c r="V18" i="1"/>
  <c r="S26" i="2" l="1"/>
  <c r="V25" i="2"/>
  <c r="T20" i="1"/>
  <c r="V19" i="1"/>
  <c r="S27" i="2" l="1"/>
  <c r="V26" i="2"/>
  <c r="T21" i="1"/>
  <c r="V20" i="1"/>
  <c r="S28" i="2" l="1"/>
  <c r="V27" i="2"/>
  <c r="T22" i="1"/>
  <c r="V21" i="1"/>
  <c r="S29" i="2" l="1"/>
  <c r="V28" i="2"/>
  <c r="T23" i="1"/>
  <c r="V22" i="1"/>
  <c r="S30" i="2" l="1"/>
  <c r="V29" i="2"/>
  <c r="T24" i="1"/>
  <c r="V23" i="1"/>
  <c r="S31" i="2" l="1"/>
  <c r="V30" i="2"/>
  <c r="T25" i="1"/>
  <c r="V24" i="1"/>
  <c r="S32" i="2" l="1"/>
  <c r="V31" i="2"/>
  <c r="T26" i="1"/>
  <c r="V25" i="1"/>
  <c r="S33" i="2" l="1"/>
  <c r="V32" i="2"/>
  <c r="T27" i="1"/>
  <c r="V26" i="1"/>
  <c r="S34" i="2" l="1"/>
  <c r="V33" i="2"/>
  <c r="T28" i="1"/>
  <c r="V27" i="1"/>
  <c r="S35" i="2" l="1"/>
  <c r="V34" i="2"/>
  <c r="T29" i="1"/>
  <c r="V28" i="1"/>
  <c r="S36" i="2" l="1"/>
  <c r="V35" i="2"/>
  <c r="T30" i="1"/>
  <c r="V29" i="1"/>
  <c r="S37" i="2" l="1"/>
  <c r="V36" i="2"/>
  <c r="T31" i="1"/>
  <c r="V30" i="1"/>
  <c r="S38" i="2" l="1"/>
  <c r="V37" i="2"/>
  <c r="T32" i="1"/>
  <c r="V31" i="1"/>
  <c r="S39" i="2" l="1"/>
  <c r="V38" i="2"/>
  <c r="T33" i="1"/>
  <c r="V32" i="1"/>
  <c r="S40" i="2" l="1"/>
  <c r="V39" i="2"/>
  <c r="T34" i="1"/>
  <c r="V33" i="1"/>
  <c r="S41" i="2" l="1"/>
  <c r="V40" i="2"/>
  <c r="T35" i="1"/>
  <c r="V34" i="1"/>
  <c r="S42" i="2" l="1"/>
  <c r="V41" i="2"/>
  <c r="T36" i="1"/>
  <c r="V35" i="1"/>
  <c r="S43" i="2" l="1"/>
  <c r="V42" i="2"/>
  <c r="T37" i="1"/>
  <c r="V36" i="1"/>
  <c r="S44" i="2" l="1"/>
  <c r="V43" i="2"/>
  <c r="T38" i="1"/>
  <c r="V37" i="1"/>
  <c r="S45" i="2" l="1"/>
  <c r="V44" i="2"/>
  <c r="T39" i="1"/>
  <c r="V38" i="1"/>
  <c r="S46" i="2" l="1"/>
  <c r="V45" i="2"/>
  <c r="T40" i="1"/>
  <c r="V39" i="1"/>
  <c r="S47" i="2" l="1"/>
  <c r="V46" i="2"/>
  <c r="T41" i="1"/>
  <c r="V40" i="1"/>
  <c r="S48" i="2" l="1"/>
  <c r="V47" i="2"/>
  <c r="T42" i="1"/>
  <c r="V41" i="1"/>
  <c r="S49" i="2" l="1"/>
  <c r="V48" i="2"/>
  <c r="T43" i="1"/>
  <c r="V42" i="1"/>
  <c r="S50" i="2" l="1"/>
  <c r="V49" i="2"/>
  <c r="T44" i="1"/>
  <c r="V43" i="1"/>
  <c r="S51" i="2" l="1"/>
  <c r="V50" i="2"/>
  <c r="T45" i="1"/>
  <c r="V44" i="1"/>
  <c r="S52" i="2" l="1"/>
  <c r="V51" i="2"/>
  <c r="T46" i="1"/>
  <c r="V45" i="1"/>
  <c r="S53" i="2" l="1"/>
  <c r="V52" i="2"/>
  <c r="T47" i="1"/>
  <c r="V46" i="1"/>
  <c r="S54" i="2" l="1"/>
  <c r="V53" i="2"/>
  <c r="T48" i="1"/>
  <c r="V47" i="1"/>
  <c r="S55" i="2" l="1"/>
  <c r="V54" i="2"/>
  <c r="T49" i="1"/>
  <c r="V48" i="1"/>
  <c r="S56" i="2" l="1"/>
  <c r="V55" i="2"/>
  <c r="T50" i="1"/>
  <c r="V49" i="1"/>
  <c r="S57" i="2" l="1"/>
  <c r="V56" i="2"/>
  <c r="T51" i="1"/>
  <c r="V50" i="1"/>
  <c r="S58" i="2" l="1"/>
  <c r="V57" i="2"/>
  <c r="T52" i="1"/>
  <c r="V51" i="1"/>
  <c r="S59" i="2" l="1"/>
  <c r="V58" i="2"/>
  <c r="T53" i="1"/>
  <c r="V52" i="1"/>
  <c r="S60" i="2" l="1"/>
  <c r="V59" i="2"/>
  <c r="T54" i="1"/>
  <c r="V53" i="1"/>
  <c r="S61" i="2" l="1"/>
  <c r="V60" i="2"/>
  <c r="T55" i="1"/>
  <c r="V54" i="1"/>
  <c r="S62" i="2" l="1"/>
  <c r="V61" i="2"/>
  <c r="T56" i="1"/>
  <c r="V55" i="1"/>
  <c r="S63" i="2" l="1"/>
  <c r="V62" i="2"/>
  <c r="T57" i="1"/>
  <c r="V56" i="1"/>
  <c r="S64" i="2" l="1"/>
  <c r="V63" i="2"/>
  <c r="T58" i="1"/>
  <c r="V57" i="1"/>
  <c r="S65" i="2" l="1"/>
  <c r="V64" i="2"/>
  <c r="T59" i="1"/>
  <c r="V58" i="1"/>
  <c r="S66" i="2" l="1"/>
  <c r="V65" i="2"/>
  <c r="T60" i="1"/>
  <c r="V59" i="1"/>
  <c r="S67" i="2" l="1"/>
  <c r="S68" i="2" s="1"/>
  <c r="V66" i="2"/>
  <c r="T61" i="1"/>
  <c r="V60" i="1"/>
  <c r="S69" i="2" l="1"/>
  <c r="V68" i="2"/>
  <c r="T62" i="1"/>
  <c r="V61" i="1"/>
  <c r="S70" i="2" l="1"/>
  <c r="V69" i="2"/>
  <c r="T63" i="1"/>
  <c r="V62" i="1"/>
  <c r="S71" i="2" l="1"/>
  <c r="V70" i="2"/>
  <c r="T64" i="1"/>
  <c r="V63" i="1"/>
  <c r="S72" i="2" l="1"/>
  <c r="V71" i="2"/>
  <c r="T65" i="1"/>
  <c r="T66" i="1" s="1"/>
  <c r="V64" i="1"/>
  <c r="S73" i="2" l="1"/>
  <c r="V72" i="2"/>
  <c r="T67" i="1"/>
  <c r="V66" i="1"/>
  <c r="S74" i="2" l="1"/>
  <c r="V73" i="2"/>
  <c r="T68" i="1"/>
  <c r="V67" i="1"/>
  <c r="S75" i="2" l="1"/>
  <c r="V74" i="2"/>
  <c r="T69" i="1"/>
  <c r="V68" i="1"/>
  <c r="S76" i="2" l="1"/>
  <c r="V75" i="2"/>
  <c r="T70" i="1"/>
  <c r="V69" i="1"/>
  <c r="S77" i="2" l="1"/>
  <c r="V76" i="2"/>
  <c r="T71" i="1"/>
  <c r="V70" i="1"/>
  <c r="S78" i="2" l="1"/>
  <c r="V77" i="2"/>
  <c r="T72" i="1"/>
  <c r="V71" i="1"/>
  <c r="S79" i="2" l="1"/>
  <c r="V78" i="2"/>
  <c r="T73" i="1"/>
  <c r="V72" i="1"/>
  <c r="S80" i="2" l="1"/>
  <c r="V79" i="2"/>
  <c r="T74" i="1"/>
  <c r="V73" i="1"/>
  <c r="S81" i="2" l="1"/>
  <c r="V80" i="2"/>
  <c r="T75" i="1"/>
  <c r="V74" i="1"/>
  <c r="S82" i="2" l="1"/>
  <c r="V81" i="2"/>
  <c r="T76" i="1"/>
  <c r="V75" i="1"/>
  <c r="S83" i="2" l="1"/>
  <c r="V82" i="2"/>
  <c r="T77" i="1"/>
  <c r="V76" i="1"/>
  <c r="S84" i="2" l="1"/>
  <c r="V83" i="2"/>
  <c r="T78" i="1"/>
  <c r="V77" i="1"/>
  <c r="S85" i="2" l="1"/>
  <c r="V84" i="2"/>
  <c r="T79" i="1"/>
  <c r="V78" i="1"/>
  <c r="S86" i="2" l="1"/>
  <c r="V85" i="2"/>
  <c r="T80" i="1"/>
  <c r="V79" i="1"/>
  <c r="S87" i="2" l="1"/>
  <c r="V86" i="2"/>
  <c r="T81" i="1"/>
  <c r="V80" i="1"/>
  <c r="S88" i="2" l="1"/>
  <c r="V87" i="2"/>
  <c r="T82" i="1"/>
  <c r="V81" i="1"/>
  <c r="S89" i="2" l="1"/>
  <c r="V88" i="2"/>
  <c r="T83" i="1"/>
  <c r="V82" i="1"/>
  <c r="S90" i="2" l="1"/>
  <c r="V89" i="2"/>
  <c r="T84" i="1"/>
  <c r="V83" i="1"/>
  <c r="S91" i="2" l="1"/>
  <c r="V90" i="2"/>
  <c r="T85" i="1"/>
  <c r="V84" i="1"/>
  <c r="S92" i="2" l="1"/>
  <c r="V91" i="2"/>
  <c r="T86" i="1"/>
  <c r="V85" i="1"/>
  <c r="S93" i="2" l="1"/>
  <c r="V92" i="2"/>
  <c r="T87" i="1"/>
  <c r="V86" i="1"/>
  <c r="S94" i="2" l="1"/>
  <c r="V93" i="2"/>
  <c r="T88" i="1"/>
  <c r="V87" i="1"/>
  <c r="S95" i="2" l="1"/>
  <c r="V94" i="2"/>
  <c r="T89" i="1"/>
  <c r="V88" i="1"/>
  <c r="S96" i="2" l="1"/>
  <c r="V95" i="2"/>
  <c r="T90" i="1"/>
  <c r="V89" i="1"/>
  <c r="S97" i="2" l="1"/>
  <c r="V96" i="2"/>
  <c r="T91" i="1"/>
  <c r="V90" i="1"/>
  <c r="S98" i="2" l="1"/>
  <c r="V97" i="2"/>
  <c r="T92" i="1"/>
  <c r="V91" i="1"/>
  <c r="S99" i="2" l="1"/>
  <c r="V98" i="2"/>
  <c r="T93" i="1"/>
  <c r="V92" i="1"/>
  <c r="S100" i="2" l="1"/>
  <c r="V99" i="2"/>
  <c r="T94" i="1"/>
  <c r="V93" i="1"/>
  <c r="S101" i="2" l="1"/>
  <c r="V100" i="2"/>
  <c r="T95" i="1"/>
  <c r="V94" i="1"/>
  <c r="S102" i="2" l="1"/>
  <c r="V101" i="2"/>
  <c r="T96" i="1"/>
  <c r="V95" i="1"/>
  <c r="S103" i="2" l="1"/>
  <c r="V102" i="2"/>
  <c r="T97" i="1"/>
  <c r="V96" i="1"/>
  <c r="S104" i="2" l="1"/>
  <c r="V103" i="2"/>
  <c r="T98" i="1"/>
  <c r="V97" i="1"/>
  <c r="S105" i="2" l="1"/>
  <c r="V104" i="2"/>
  <c r="T99" i="1"/>
  <c r="V98" i="1"/>
  <c r="S106" i="2" l="1"/>
  <c r="V105" i="2"/>
  <c r="T100" i="1"/>
  <c r="V99" i="1"/>
  <c r="S107" i="2" l="1"/>
  <c r="V106" i="2"/>
  <c r="T101" i="1"/>
  <c r="V100" i="1"/>
  <c r="S108" i="2" l="1"/>
  <c r="V107" i="2"/>
  <c r="T102" i="1"/>
  <c r="V101" i="1"/>
  <c r="S109" i="2" l="1"/>
  <c r="V108" i="2"/>
  <c r="T103" i="1"/>
  <c r="V102" i="1"/>
  <c r="S110" i="2" l="1"/>
  <c r="V109" i="2"/>
  <c r="T104" i="1"/>
  <c r="V103" i="1"/>
  <c r="V110" i="2" l="1"/>
  <c r="T105" i="1"/>
  <c r="V104" i="1"/>
  <c r="T106" i="1" l="1"/>
  <c r="V105" i="1"/>
  <c r="T107" i="1" l="1"/>
  <c r="V106" i="1"/>
  <c r="T108" i="1" l="1"/>
  <c r="V107" i="1"/>
  <c r="V10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tc={A5EC4B73-ACCF-E149-8959-DF22EEA6142A}</author>
  </authors>
  <commentList>
    <comment ref="V2" authorId="0" shapeId="0" xr:uid="{A5EC4B73-ACCF-E149-8959-DF22EEA6142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Constante de solubilité à l’équilibre </t>
      </text>
    </comment>
  </commentList>
</comments>
</file>

<file path=xl/sharedStrings.xml><?xml version="1.0" encoding="utf-8"?>
<sst xmlns="http://schemas.openxmlformats.org/spreadsheetml/2006/main" count="96" uniqueCount="58">
  <si>
    <t>DATA INPUT</t>
  </si>
  <si>
    <t>DATA CHECK</t>
  </si>
  <si>
    <t>Campaign</t>
  </si>
  <si>
    <t>Date</t>
  </si>
  <si>
    <t>Depth</t>
  </si>
  <si>
    <t>Comment</t>
  </si>
  <si>
    <t>Sample ID</t>
  </si>
  <si>
    <t>Temperature</t>
  </si>
  <si>
    <t>Salinity</t>
  </si>
  <si>
    <t>N2O conc atmosphere</t>
  </si>
  <si>
    <t>Pressure atmosphere</t>
  </si>
  <si>
    <t>Solubility Constant (F)</t>
  </si>
  <si>
    <t>N2O Saturation</t>
  </si>
  <si>
    <t>cm</t>
  </si>
  <si>
    <t>°C</t>
  </si>
  <si>
    <t>nmol/L</t>
  </si>
  <si>
    <t>%</t>
  </si>
  <si>
    <t>K</t>
  </si>
  <si>
    <t>ppb</t>
  </si>
  <si>
    <t>atm</t>
  </si>
  <si>
    <t>mol/L atm</t>
  </si>
  <si>
    <t>mol/kg atm</t>
  </si>
  <si>
    <t>Constantes</t>
  </si>
  <si>
    <t>Weiss and Price (1980)</t>
  </si>
  <si>
    <t>N2O</t>
  </si>
  <si>
    <t>F</t>
  </si>
  <si>
    <t>K0</t>
  </si>
  <si>
    <t>A1</t>
  </si>
  <si>
    <t>A2</t>
  </si>
  <si>
    <t>A3</t>
  </si>
  <si>
    <t>A4</t>
  </si>
  <si>
    <t>sz</t>
  </si>
  <si>
    <t>B1</t>
  </si>
  <si>
    <t>B2</t>
  </si>
  <si>
    <t>B3</t>
  </si>
  <si>
    <t>K0 sont les constantes de l'ancien papier qui n'inclue pas l'effet de la vapeur d'eau sur la solubilité</t>
  </si>
  <si>
    <t>F sont les nouvelles contantes qui considèrent l'effet de la vapeur d'eau sur la solubilité</t>
  </si>
  <si>
    <t>Comme nous somme dans un environnement 100% humide sans la présence de phase gazeuse, ce sont les constantes F qui doivent être utilisées</t>
  </si>
  <si>
    <t>La différence finale sur la saturation est le l'ordre de 3-4%, avec K0 qui sous-estime la saturation par rapport à F</t>
  </si>
  <si>
    <t>Comments</t>
  </si>
  <si>
    <t>CH4 conc ice measured</t>
  </si>
  <si>
    <t>CH4 conc atmosphere</t>
  </si>
  <si>
    <t>fG coefficient</t>
  </si>
  <si>
    <t>CH4 Saturation</t>
  </si>
  <si>
    <t>Wiesenburg &amp; Guinasso 1979</t>
  </si>
  <si>
    <t>CH4</t>
  </si>
  <si>
    <t>fG</t>
  </si>
  <si>
    <t>Solubility N2O seawater</t>
  </si>
  <si>
    <t>SOLUBILITY &amp; SATURATION OF N2O IN GF2024</t>
  </si>
  <si>
    <t>Greenfjord 2024</t>
  </si>
  <si>
    <t>Station_CTD</t>
  </si>
  <si>
    <t>Station-ID at sea</t>
  </si>
  <si>
    <t>Stationfor MS</t>
  </si>
  <si>
    <t>m</t>
  </si>
  <si>
    <t>N2O conc water measured</t>
  </si>
  <si>
    <t>Station_ID at sea</t>
  </si>
  <si>
    <t>Sation for MS</t>
  </si>
  <si>
    <t>SOLUBILITY &amp; SATURATION OF CH4 IN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</si>
</sst>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00"/>
    <numFmt numFmtId="166" formatCode="0.0"/>
    <numFmt numFmtId="167" formatCode="yyyy\-mm\-dd;@"/>
    <numFmt numFmtId="168" formatCode="0.000000"/>
  </numFmts>
  <fonts count="1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502275"/>
      <name val="Calibri"/>
      <family val="2"/>
      <scheme val="minor"/>
    </font>
    <font>
      <b/>
      <sz val="14"/>
      <color rgb="FF502275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10"/>
      <name val="MS Sans Serif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542A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63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2" xfId="0" applyBorder="1"/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1" fillId="0" borderId="7" xfId="0" applyFont="1" applyBorder="1"/>
    <xf numFmtId="1" fontId="0" fillId="0" borderId="0" xfId="0" applyNumberFormat="1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" fontId="0" fillId="2" borderId="0" xfId="0" applyNumberFormat="1" applyFill="1"/>
    <xf numFmtId="0" fontId="6" fillId="0" borderId="8" xfId="0" applyFont="1" applyBorder="1"/>
    <xf numFmtId="0" fontId="6" fillId="0" borderId="11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8" xfId="0" applyFont="1" applyBorder="1"/>
    <xf numFmtId="0" fontId="1" fillId="0" borderId="9" xfId="0" applyFont="1" applyBorder="1"/>
    <xf numFmtId="165" fontId="0" fillId="0" borderId="0" xfId="0" applyNumberFormat="1"/>
    <xf numFmtId="166" fontId="0" fillId="0" borderId="0" xfId="0" applyNumberFormat="1"/>
    <xf numFmtId="0" fontId="0" fillId="0" borderId="2" xfId="0" applyBorder="1" applyAlignment="1">
      <alignment horizontal="center"/>
    </xf>
    <xf numFmtId="167" fontId="0" fillId="0" borderId="0" xfId="0" applyNumberFormat="1" applyAlignment="1">
      <alignment horizontal="center" vertical="center"/>
    </xf>
    <xf numFmtId="167" fontId="0" fillId="0" borderId="0" xfId="0" applyNumberFormat="1"/>
    <xf numFmtId="0" fontId="1" fillId="4" borderId="0" xfId="0" applyFont="1" applyFill="1"/>
    <xf numFmtId="0" fontId="8" fillId="0" borderId="0" xfId="1" applyFont="1"/>
    <xf numFmtId="2" fontId="8" fillId="0" borderId="0" xfId="1" applyNumberFormat="1" applyFont="1"/>
    <xf numFmtId="0" fontId="6" fillId="0" borderId="0" xfId="0" applyFont="1" applyAlignment="1">
      <alignment horizontal="left"/>
    </xf>
    <xf numFmtId="22" fontId="0" fillId="0" borderId="0" xfId="0" applyNumberFormat="1"/>
    <xf numFmtId="168" fontId="0" fillId="0" borderId="0" xfId="0" applyNumberFormat="1"/>
    <xf numFmtId="0" fontId="9" fillId="0" borderId="0" xfId="0" applyFont="1"/>
    <xf numFmtId="22" fontId="6" fillId="0" borderId="0" xfId="1" applyNumberFormat="1" applyFont="1"/>
    <xf numFmtId="168" fontId="10" fillId="0" borderId="0" xfId="0" applyNumberFormat="1" applyFont="1"/>
    <xf numFmtId="166" fontId="9" fillId="0" borderId="0" xfId="0" applyNumberFormat="1" applyFont="1"/>
    <xf numFmtId="166" fontId="0" fillId="3" borderId="0" xfId="0" applyNumberFormat="1" applyFill="1"/>
    <xf numFmtId="166" fontId="9" fillId="3" borderId="0" xfId="0" applyNumberFormat="1" applyFont="1" applyFill="1"/>
    <xf numFmtId="14" fontId="0" fillId="0" borderId="0" xfId="0" applyNumberFormat="1"/>
    <xf numFmtId="165" fontId="0" fillId="2" borderId="0" xfId="0" applyNumberFormat="1" applyFill="1"/>
    <xf numFmtId="0" fontId="0" fillId="5" borderId="0" xfId="0" applyFill="1"/>
    <xf numFmtId="14" fontId="0" fillId="5" borderId="0" xfId="0" applyNumberFormat="1" applyFill="1"/>
    <xf numFmtId="2" fontId="0" fillId="5" borderId="0" xfId="0" applyNumberFormat="1" applyFill="1"/>
    <xf numFmtId="164" fontId="0" fillId="5" borderId="0" xfId="0" applyNumberFormat="1" applyFill="1"/>
    <xf numFmtId="164" fontId="8" fillId="0" borderId="0" xfId="1" applyNumberFormat="1" applyFont="1"/>
    <xf numFmtId="2" fontId="11" fillId="5" borderId="0" xfId="0" applyNumberFormat="1" applyFont="1" applyFill="1"/>
    <xf numFmtId="1" fontId="0" fillId="6" borderId="0" xfId="0" applyNumberFormat="1" applyFill="1"/>
    <xf numFmtId="0" fontId="4" fillId="6" borderId="0" xfId="0" applyFont="1" applyFill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6" borderId="12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/>
    </xf>
    <xf numFmtId="0" fontId="4" fillId="6" borderId="0" xfId="0" applyFont="1" applyFill="1" applyAlignment="1">
      <alignment horizontal="center" vertical="center" wrapText="1"/>
    </xf>
    <xf numFmtId="0" fontId="0" fillId="4" borderId="0" xfId="0" applyFill="1"/>
    <xf numFmtId="0" fontId="0" fillId="4" borderId="2" xfId="0" applyFill="1" applyBorder="1"/>
    <xf numFmtId="2" fontId="0" fillId="4" borderId="0" xfId="0" applyNumberFormat="1" applyFill="1"/>
    <xf numFmtId="1" fontId="0" fillId="4" borderId="0" xfId="0" applyNumberFormat="1" applyFill="1"/>
  </cellXfs>
  <cellStyles count="2">
    <cellStyle name="Normal" xfId="0" builtinId="0"/>
    <cellStyle name="Normal 2" xfId="1" xr:uid="{25731443-6B1C-44DF-8166-84B7689264FE}"/>
  </cellStyles>
  <dxfs count="0"/>
  <tableStyles count="0" defaultTableStyle="TableStyleMedium2" defaultPivotStyle="PivotStyleLight16"/>
  <colors>
    <mruColors>
      <color rgb="FFE55CD6"/>
      <color rgb="FFE5A3E3"/>
      <color rgb="FF502275"/>
      <color rgb="FFFF6BEC"/>
      <color rgb="FFFF542A"/>
      <color rgb="FFF89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0</xdr:colOff>
      <xdr:row>2</xdr:row>
      <xdr:rowOff>0</xdr:rowOff>
    </xdr:from>
    <xdr:ext cx="304800" cy="308263"/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2EF2158D-18E7-6745-BE2F-2265A5EC424B}"/>
            </a:ext>
          </a:extLst>
        </xdr:cNvPr>
        <xdr:cNvSpPr>
          <a:spLocks noChangeAspect="1" noChangeArrowheads="1"/>
        </xdr:cNvSpPr>
      </xdr:nvSpPr>
      <xdr:spPr bwMode="auto">
        <a:xfrm>
          <a:off x="23101300" y="762000"/>
          <a:ext cx="304800" cy="3082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uller Sofia" id="{77ED1F81-7992-3341-A6F0-DA8A93A08855}" userId="S::sofia.muller@uliege.be::4aa4da86-aaf5-4643-bfe9-dc15f579b8d6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V2" dT="2022-11-23T17:57:45.20" personId="{77ED1F81-7992-3341-A6F0-DA8A93A08855}" id="{A5EC4B73-ACCF-E149-8959-DF22EEA6142A}">
    <text xml:space="preserve">Constante de solubilité à l’équilibre 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08ED8-9374-014B-A2E5-D98B37CEC51E}">
  <dimension ref="A1:W706"/>
  <sheetViews>
    <sheetView topLeftCell="J1" zoomScale="160" zoomScaleNormal="160" workbookViewId="0">
      <pane ySplit="3" topLeftCell="A5" activePane="bottomLeft" state="frozen"/>
      <selection activeCell="AL1" sqref="AL1"/>
      <selection pane="bottomLeft" activeCell="E38" sqref="E38"/>
    </sheetView>
  </sheetViews>
  <sheetFormatPr defaultColWidth="11" defaultRowHeight="15.75" x14ac:dyDescent="0.25"/>
  <cols>
    <col min="2" max="2" width="11.125" bestFit="1" customWidth="1"/>
    <col min="3" max="3" width="13" bestFit="1" customWidth="1"/>
    <col min="5" max="5" width="11.125" bestFit="1" customWidth="1"/>
    <col min="6" max="6" width="10.875" style="3"/>
    <col min="7" max="7" width="17.375" customWidth="1"/>
    <col min="8" max="10" width="39.75" customWidth="1"/>
    <col min="11" max="11" width="16.625" bestFit="1" customWidth="1"/>
    <col min="14" max="14" width="21.5" style="3" customWidth="1"/>
    <col min="15" max="16" width="11.125" bestFit="1" customWidth="1"/>
    <col min="17" max="17" width="11" style="26" bestFit="1" customWidth="1"/>
    <col min="18" max="20" width="11.125" bestFit="1" customWidth="1"/>
    <col min="21" max="21" width="12.625" bestFit="1" customWidth="1"/>
    <col min="22" max="23" width="11.125" bestFit="1" customWidth="1"/>
  </cols>
  <sheetData>
    <row r="1" spans="1:23" x14ac:dyDescent="0.25">
      <c r="N1"/>
      <c r="O1" s="57" t="s">
        <v>0</v>
      </c>
      <c r="P1" s="57"/>
      <c r="Q1" s="57"/>
      <c r="S1" s="30" t="s">
        <v>1</v>
      </c>
    </row>
    <row r="2" spans="1:23" s="51" customFormat="1" ht="93.95" customHeight="1" x14ac:dyDescent="0.25">
      <c r="A2" s="58" t="s">
        <v>48</v>
      </c>
      <c r="B2" s="58"/>
      <c r="C2" s="58"/>
      <c r="D2" s="58"/>
      <c r="E2" s="58"/>
      <c r="F2" s="52"/>
      <c r="G2" s="51" t="s">
        <v>2</v>
      </c>
      <c r="H2" s="51" t="s">
        <v>50</v>
      </c>
      <c r="I2" s="51" t="s">
        <v>51</v>
      </c>
      <c r="J2" s="51" t="s">
        <v>52</v>
      </c>
      <c r="K2" s="51" t="s">
        <v>3</v>
      </c>
      <c r="L2" s="51" t="s">
        <v>4</v>
      </c>
      <c r="M2" s="51" t="s">
        <v>5</v>
      </c>
      <c r="N2" s="51" t="s">
        <v>6</v>
      </c>
      <c r="O2" s="51" t="s">
        <v>7</v>
      </c>
      <c r="P2" s="51" t="s">
        <v>8</v>
      </c>
      <c r="Q2" s="51" t="s">
        <v>54</v>
      </c>
      <c r="R2" s="51" t="s">
        <v>7</v>
      </c>
      <c r="S2" s="53" t="s">
        <v>9</v>
      </c>
      <c r="T2" s="51" t="s">
        <v>10</v>
      </c>
      <c r="U2" s="51" t="s">
        <v>11</v>
      </c>
      <c r="V2" s="51" t="s">
        <v>47</v>
      </c>
      <c r="W2" s="51" t="s">
        <v>12</v>
      </c>
    </row>
    <row r="3" spans="1:23" s="54" customFormat="1" ht="33.950000000000003" customHeight="1" thickBot="1" x14ac:dyDescent="0.3">
      <c r="F3" s="55"/>
      <c r="L3" s="54" t="s">
        <v>53</v>
      </c>
      <c r="N3" s="55"/>
      <c r="O3" s="54" t="s">
        <v>14</v>
      </c>
      <c r="Q3" s="54" t="s">
        <v>15</v>
      </c>
      <c r="R3" s="54" t="s">
        <v>17</v>
      </c>
      <c r="S3" s="54" t="s">
        <v>18</v>
      </c>
      <c r="T3" s="54" t="s">
        <v>19</v>
      </c>
      <c r="U3" s="54" t="s">
        <v>20</v>
      </c>
      <c r="V3" s="54" t="s">
        <v>15</v>
      </c>
      <c r="W3" s="54" t="s">
        <v>16</v>
      </c>
    </row>
    <row r="4" spans="1:23" ht="27" thickTop="1" x14ac:dyDescent="0.4">
      <c r="A4" s="2" t="s">
        <v>22</v>
      </c>
      <c r="G4" s="6"/>
      <c r="H4" s="16"/>
      <c r="I4" s="16"/>
      <c r="J4" s="16"/>
      <c r="K4" s="28"/>
      <c r="L4" s="16"/>
      <c r="M4" s="6"/>
      <c r="N4" s="27"/>
      <c r="O4" s="16"/>
      <c r="P4" s="16"/>
      <c r="Q4" s="16"/>
      <c r="R4" s="15"/>
      <c r="U4" s="4"/>
      <c r="V4" s="5"/>
      <c r="W4" s="50"/>
    </row>
    <row r="5" spans="1:23" x14ac:dyDescent="0.25">
      <c r="G5" s="6"/>
      <c r="H5" s="16"/>
      <c r="I5" s="16"/>
      <c r="J5" s="16"/>
      <c r="K5" s="28"/>
      <c r="L5" s="16"/>
      <c r="M5" s="6"/>
      <c r="N5" s="27"/>
      <c r="O5" s="16"/>
      <c r="P5" s="16"/>
      <c r="Q5" s="16"/>
      <c r="R5" s="15"/>
      <c r="U5" s="4"/>
      <c r="V5" s="5"/>
      <c r="W5" s="50"/>
    </row>
    <row r="6" spans="1:23" x14ac:dyDescent="0.25">
      <c r="R6" s="15"/>
      <c r="U6" s="4"/>
      <c r="V6" s="5"/>
      <c r="W6" s="50"/>
    </row>
    <row r="7" spans="1:23" ht="16.5" thickBot="1" x14ac:dyDescent="0.3">
      <c r="G7" s="6" t="s">
        <v>49</v>
      </c>
      <c r="H7">
        <v>1</v>
      </c>
      <c r="I7" s="44"/>
      <c r="J7" s="44"/>
      <c r="L7">
        <v>9.81</v>
      </c>
      <c r="O7">
        <v>0.39200000000000002</v>
      </c>
      <c r="P7">
        <v>29.116299999999999</v>
      </c>
      <c r="Q7" s="5"/>
      <c r="R7" s="15">
        <f t="shared" ref="R7:R70" si="0">273.15+O7</f>
        <v>273.54199999999997</v>
      </c>
      <c r="S7">
        <v>336.66</v>
      </c>
      <c r="T7">
        <v>1</v>
      </c>
      <c r="U7" s="4">
        <f t="shared" ref="U7" si="1">EXP($C$12+($C$13*(100/R7))+($C$14*LN(R7/100))+($C$15*(R7/100)^2)+(P7*($C$16+($C$17*(R7/100))+($C$18*(R7/100)^2))))</f>
        <v>4.8484184426035075E-2</v>
      </c>
      <c r="V7" s="5">
        <f t="shared" ref="V7" si="2">S7*T7*U7</f>
        <v>16.32268552886897</v>
      </c>
      <c r="W7" s="50"/>
    </row>
    <row r="8" spans="1:23" x14ac:dyDescent="0.25">
      <c r="A8" s="20"/>
      <c r="B8" s="21" t="s">
        <v>23</v>
      </c>
      <c r="C8" s="21"/>
      <c r="D8" s="21"/>
      <c r="E8" s="22"/>
      <c r="G8" s="6"/>
      <c r="H8">
        <v>1</v>
      </c>
      <c r="I8" s="44"/>
      <c r="J8" s="44"/>
      <c r="L8">
        <v>19.87</v>
      </c>
      <c r="O8">
        <v>0.51549999999999996</v>
      </c>
      <c r="P8">
        <v>30.440999999999999</v>
      </c>
      <c r="Q8"/>
      <c r="R8" s="15">
        <f t="shared" si="0"/>
        <v>273.66549999999995</v>
      </c>
      <c r="S8">
        <f>S7</f>
        <v>336.66</v>
      </c>
      <c r="T8">
        <f>T7</f>
        <v>1</v>
      </c>
      <c r="U8" s="4">
        <f t="shared" ref="U8:U71" si="3">EXP($C$12+($C$13*(100/R8))+($C$14*LN(R8/100))+($C$15*(R8/100)^2)+(P8*($C$16+($C$17*(R8/100))+($C$18*(R8/100)^2))))</f>
        <v>4.785745966571156E-2</v>
      </c>
      <c r="V8" s="5">
        <f t="shared" ref="V8:V71" si="4">S8*T8*U8</f>
        <v>16.111692371058457</v>
      </c>
      <c r="W8" s="50"/>
    </row>
    <row r="9" spans="1:23" x14ac:dyDescent="0.25">
      <c r="A9" s="13"/>
      <c r="B9" s="1" t="s">
        <v>24</v>
      </c>
      <c r="C9" s="1"/>
      <c r="D9" s="1"/>
      <c r="E9" s="23"/>
      <c r="G9" s="6"/>
      <c r="H9">
        <v>1</v>
      </c>
      <c r="I9" s="44"/>
      <c r="J9" s="44"/>
      <c r="L9">
        <v>279.94</v>
      </c>
      <c r="O9">
        <v>3.9495</v>
      </c>
      <c r="P9">
        <v>34.543399999999998</v>
      </c>
      <c r="Q9"/>
      <c r="R9" s="15">
        <f t="shared" si="0"/>
        <v>277.09949999999998</v>
      </c>
      <c r="S9">
        <f t="shared" ref="S9:S72" si="5">S8</f>
        <v>336.66</v>
      </c>
      <c r="T9">
        <f t="shared" ref="T9:T72" si="6">T8</f>
        <v>1</v>
      </c>
      <c r="U9" s="4">
        <f t="shared" si="3"/>
        <v>4.0758982324991477E-2</v>
      </c>
      <c r="V9" s="5">
        <f t="shared" si="4"/>
        <v>13.721918989531632</v>
      </c>
      <c r="W9" s="50"/>
    </row>
    <row r="10" spans="1:23" x14ac:dyDescent="0.25">
      <c r="A10" s="13"/>
      <c r="B10" s="1" t="s">
        <v>25</v>
      </c>
      <c r="C10" s="1" t="s">
        <v>25</v>
      </c>
      <c r="D10" s="1" t="s">
        <v>26</v>
      </c>
      <c r="E10" s="23" t="s">
        <v>26</v>
      </c>
      <c r="G10" s="6"/>
      <c r="H10">
        <v>1</v>
      </c>
      <c r="I10" s="44"/>
      <c r="J10" s="44"/>
      <c r="L10">
        <v>2.88</v>
      </c>
      <c r="O10">
        <v>3.7643</v>
      </c>
      <c r="P10">
        <v>22.9</v>
      </c>
      <c r="Q10" s="5">
        <v>15.226273445757506</v>
      </c>
      <c r="R10" s="15">
        <f t="shared" si="0"/>
        <v>276.91429999999997</v>
      </c>
      <c r="S10">
        <f t="shared" si="5"/>
        <v>336.66</v>
      </c>
      <c r="T10">
        <f t="shared" si="6"/>
        <v>1</v>
      </c>
      <c r="U10" s="4">
        <f t="shared" si="3"/>
        <v>4.3943480693772484E-2</v>
      </c>
      <c r="V10" s="5">
        <f t="shared" si="4"/>
        <v>14.794012210365446</v>
      </c>
      <c r="W10" s="50">
        <f t="shared" ref="W10:W71" si="7">(Q10/V10)*100</f>
        <v>102.92186615263977</v>
      </c>
    </row>
    <row r="11" spans="1:23" x14ac:dyDescent="0.25">
      <c r="A11" s="9"/>
      <c r="B11" t="s">
        <v>21</v>
      </c>
      <c r="C11" t="s">
        <v>20</v>
      </c>
      <c r="D11" t="s">
        <v>21</v>
      </c>
      <c r="E11" s="10" t="s">
        <v>20</v>
      </c>
      <c r="G11" s="6"/>
      <c r="H11">
        <v>1</v>
      </c>
      <c r="I11" s="44"/>
      <c r="J11" s="44"/>
      <c r="L11">
        <v>45.17</v>
      </c>
      <c r="O11">
        <v>0.9587</v>
      </c>
      <c r="P11">
        <v>31.863600000000002</v>
      </c>
      <c r="Q11" s="5">
        <v>15.405949531696407</v>
      </c>
      <c r="R11" s="15">
        <f t="shared" si="0"/>
        <v>274.1087</v>
      </c>
      <c r="S11">
        <f t="shared" si="5"/>
        <v>336.66</v>
      </c>
      <c r="T11">
        <f t="shared" si="6"/>
        <v>1</v>
      </c>
      <c r="U11" s="4">
        <f t="shared" si="3"/>
        <v>4.6603975620593305E-2</v>
      </c>
      <c r="V11" s="5">
        <f t="shared" si="4"/>
        <v>15.689694432428944</v>
      </c>
      <c r="W11" s="50">
        <f t="shared" si="7"/>
        <v>98.191520542643161</v>
      </c>
    </row>
    <row r="12" spans="1:23" x14ac:dyDescent="0.25">
      <c r="A12" s="13" t="s">
        <v>27</v>
      </c>
      <c r="B12">
        <v>-168.24590000000001</v>
      </c>
      <c r="C12">
        <v>-165.88059999999999</v>
      </c>
      <c r="E12" s="18">
        <v>-62.706200000000003</v>
      </c>
      <c r="G12" s="6"/>
      <c r="H12">
        <v>1</v>
      </c>
      <c r="I12" s="44"/>
      <c r="J12" s="44"/>
      <c r="L12">
        <v>45.17</v>
      </c>
      <c r="O12">
        <v>0.9587</v>
      </c>
      <c r="P12">
        <v>31.863600000000002</v>
      </c>
      <c r="Q12" s="5">
        <v>15.405949531696407</v>
      </c>
      <c r="R12" s="15">
        <f t="shared" si="0"/>
        <v>274.1087</v>
      </c>
      <c r="S12">
        <f t="shared" si="5"/>
        <v>336.66</v>
      </c>
      <c r="T12">
        <f t="shared" si="6"/>
        <v>1</v>
      </c>
      <c r="U12" s="4">
        <f t="shared" si="3"/>
        <v>4.6603975620593305E-2</v>
      </c>
      <c r="V12" s="5">
        <f t="shared" si="4"/>
        <v>15.689694432428944</v>
      </c>
      <c r="W12" s="50">
        <f t="shared" si="7"/>
        <v>98.191520542643161</v>
      </c>
    </row>
    <row r="13" spans="1:23" x14ac:dyDescent="0.25">
      <c r="A13" s="13" t="s">
        <v>28</v>
      </c>
      <c r="B13">
        <v>226.08940000000001</v>
      </c>
      <c r="C13">
        <v>222.87430000000001</v>
      </c>
      <c r="E13" s="18">
        <v>97.306600000000003</v>
      </c>
      <c r="G13" s="6"/>
      <c r="H13">
        <v>1</v>
      </c>
      <c r="I13" s="44"/>
      <c r="J13" s="44"/>
      <c r="L13">
        <v>6.2</v>
      </c>
      <c r="O13">
        <v>0.60240000000000005</v>
      </c>
      <c r="P13">
        <v>28.133400000000002</v>
      </c>
      <c r="Q13" s="5">
        <v>14.556584243970379</v>
      </c>
      <c r="R13" s="15">
        <f t="shared" si="0"/>
        <v>273.75239999999997</v>
      </c>
      <c r="S13">
        <f t="shared" si="5"/>
        <v>336.66</v>
      </c>
      <c r="T13">
        <f t="shared" si="6"/>
        <v>1</v>
      </c>
      <c r="U13" s="4">
        <f t="shared" si="3"/>
        <v>4.8353259238370146E-2</v>
      </c>
      <c r="V13" s="5">
        <f t="shared" si="4"/>
        <v>16.278608255189695</v>
      </c>
      <c r="W13" s="50">
        <f t="shared" si="7"/>
        <v>89.42155260312056</v>
      </c>
    </row>
    <row r="14" spans="1:23" x14ac:dyDescent="0.25">
      <c r="A14" s="13" t="s">
        <v>29</v>
      </c>
      <c r="B14">
        <v>93.281700000000001</v>
      </c>
      <c r="C14">
        <v>92.0792</v>
      </c>
      <c r="E14" s="18">
        <v>24.140599999999999</v>
      </c>
      <c r="G14" s="6"/>
      <c r="H14">
        <v>1</v>
      </c>
      <c r="I14" s="44"/>
      <c r="J14" s="44"/>
      <c r="L14">
        <v>309.60000000000002</v>
      </c>
      <c r="O14">
        <v>4.0235000000000003</v>
      </c>
      <c r="P14">
        <v>34.602499999999999</v>
      </c>
      <c r="Q14" s="5">
        <v>12.751118710070646</v>
      </c>
      <c r="R14" s="15">
        <f t="shared" si="0"/>
        <v>277.17349999999999</v>
      </c>
      <c r="S14">
        <f t="shared" si="5"/>
        <v>336.66</v>
      </c>
      <c r="T14">
        <f t="shared" si="6"/>
        <v>1</v>
      </c>
      <c r="U14" s="4">
        <f t="shared" si="3"/>
        <v>4.0628840730293096E-2</v>
      </c>
      <c r="V14" s="5">
        <f t="shared" si="4"/>
        <v>13.678105520260475</v>
      </c>
      <c r="W14" s="50">
        <f t="shared" si="7"/>
        <v>93.222842090107108</v>
      </c>
    </row>
    <row r="15" spans="1:23" x14ac:dyDescent="0.25">
      <c r="A15" s="13" t="s">
        <v>30</v>
      </c>
      <c r="B15" t="s">
        <v>31</v>
      </c>
      <c r="C15">
        <v>-1.4842500000000001</v>
      </c>
      <c r="E15" s="18"/>
      <c r="G15" s="6"/>
      <c r="H15">
        <v>1</v>
      </c>
      <c r="I15" s="44"/>
      <c r="J15" s="44"/>
      <c r="L15">
        <v>85.13</v>
      </c>
      <c r="O15">
        <v>9.0499999999999997E-2</v>
      </c>
      <c r="P15">
        <v>32.519799999999996</v>
      </c>
      <c r="Q15" s="5">
        <v>14.903734924800606</v>
      </c>
      <c r="R15" s="15">
        <f t="shared" si="0"/>
        <v>273.2405</v>
      </c>
      <c r="S15">
        <f t="shared" si="5"/>
        <v>336.66</v>
      </c>
      <c r="T15">
        <f t="shared" si="6"/>
        <v>1</v>
      </c>
      <c r="U15" s="4">
        <f t="shared" si="3"/>
        <v>4.8091084765220178E-2</v>
      </c>
      <c r="V15" s="5">
        <f t="shared" si="4"/>
        <v>16.190344597059028</v>
      </c>
      <c r="W15" s="50">
        <f t="shared" si="7"/>
        <v>92.053228610760186</v>
      </c>
    </row>
    <row r="16" spans="1:23" x14ac:dyDescent="0.25">
      <c r="A16" s="13" t="s">
        <v>32</v>
      </c>
      <c r="B16">
        <v>-6.0360999999999998E-2</v>
      </c>
      <c r="C16">
        <v>-5.6235E-2</v>
      </c>
      <c r="E16" s="18">
        <v>-5.842E-2</v>
      </c>
      <c r="G16" s="6"/>
      <c r="H16">
        <v>2</v>
      </c>
      <c r="I16" s="44"/>
      <c r="J16" s="44"/>
      <c r="L16">
        <v>15.13</v>
      </c>
      <c r="O16">
        <v>0.35499999999999998</v>
      </c>
      <c r="P16">
        <v>29.889900000000001</v>
      </c>
      <c r="Q16" s="5">
        <v>15.906761865400986</v>
      </c>
      <c r="R16" s="15">
        <f t="shared" si="0"/>
        <v>273.505</v>
      </c>
      <c r="S16">
        <f t="shared" si="5"/>
        <v>336.66</v>
      </c>
      <c r="T16">
        <f t="shared" si="6"/>
        <v>1</v>
      </c>
      <c r="U16" s="4">
        <f t="shared" si="3"/>
        <v>4.8332313652606922E-2</v>
      </c>
      <c r="V16" s="5">
        <f t="shared" si="4"/>
        <v>16.271556714286646</v>
      </c>
      <c r="W16" s="50">
        <f t="shared" si="7"/>
        <v>97.758082675855064</v>
      </c>
    </row>
    <row r="17" spans="1:23" x14ac:dyDescent="0.25">
      <c r="A17" s="13" t="s">
        <v>33</v>
      </c>
      <c r="B17">
        <v>3.3765000000000003E-2</v>
      </c>
      <c r="C17">
        <v>3.1619000000000001E-2</v>
      </c>
      <c r="E17" s="18">
        <v>3.3193E-2</v>
      </c>
      <c r="G17" s="6"/>
      <c r="H17">
        <v>2</v>
      </c>
      <c r="L17">
        <v>1.93</v>
      </c>
      <c r="O17">
        <v>2.2101000000000002</v>
      </c>
      <c r="P17">
        <v>20.6037</v>
      </c>
      <c r="Q17"/>
      <c r="R17" s="15">
        <f t="shared" si="0"/>
        <v>275.36009999999999</v>
      </c>
      <c r="S17">
        <f t="shared" si="5"/>
        <v>336.66</v>
      </c>
      <c r="T17">
        <f t="shared" si="6"/>
        <v>1</v>
      </c>
      <c r="U17" s="4">
        <f t="shared" si="3"/>
        <v>4.7379851180388295E-2</v>
      </c>
      <c r="V17" s="5">
        <f t="shared" si="4"/>
        <v>15.950900698389525</v>
      </c>
      <c r="W17" s="50"/>
    </row>
    <row r="18" spans="1:23" ht="16.5" thickBot="1" x14ac:dyDescent="0.3">
      <c r="A18" s="24" t="s">
        <v>34</v>
      </c>
      <c r="B18" s="11">
        <v>-5.1862000000000002E-3</v>
      </c>
      <c r="C18" s="11">
        <v>-4.8472000000000003E-3</v>
      </c>
      <c r="D18" s="11"/>
      <c r="E18" s="19">
        <v>-5.1313000000000001E-3</v>
      </c>
      <c r="G18" s="6"/>
      <c r="H18">
        <v>2</v>
      </c>
      <c r="L18">
        <v>300.38</v>
      </c>
      <c r="O18">
        <v>3.9741</v>
      </c>
      <c r="P18">
        <v>34.5762</v>
      </c>
      <c r="Q18" s="5">
        <v>14.924365348486498</v>
      </c>
      <c r="R18" s="15">
        <f t="shared" si="0"/>
        <v>277.1241</v>
      </c>
      <c r="S18">
        <f t="shared" si="5"/>
        <v>336.66</v>
      </c>
      <c r="T18">
        <f t="shared" si="6"/>
        <v>1</v>
      </c>
      <c r="U18" s="4">
        <f t="shared" si="3"/>
        <v>4.0712531392459964E-2</v>
      </c>
      <c r="V18" s="5">
        <f t="shared" si="4"/>
        <v>13.706280818585572</v>
      </c>
      <c r="W18" s="50">
        <f t="shared" si="7"/>
        <v>108.88705365097448</v>
      </c>
    </row>
    <row r="19" spans="1:23" x14ac:dyDescent="0.25">
      <c r="G19" s="6"/>
      <c r="H19">
        <v>2</v>
      </c>
      <c r="L19">
        <v>39.92</v>
      </c>
      <c r="O19">
        <v>1.3149</v>
      </c>
      <c r="P19">
        <v>31.776800000000001</v>
      </c>
      <c r="Q19"/>
      <c r="R19" s="15">
        <f t="shared" si="0"/>
        <v>274.4649</v>
      </c>
      <c r="S19">
        <f t="shared" si="5"/>
        <v>336.66</v>
      </c>
      <c r="T19">
        <f t="shared" si="6"/>
        <v>1</v>
      </c>
      <c r="U19" s="4">
        <f t="shared" si="3"/>
        <v>4.5962573227602936E-2</v>
      </c>
      <c r="V19" s="5">
        <f t="shared" si="4"/>
        <v>15.473759902804806</v>
      </c>
      <c r="W19" s="50"/>
    </row>
    <row r="20" spans="1:23" x14ac:dyDescent="0.25">
      <c r="A20" t="s">
        <v>35</v>
      </c>
      <c r="G20" s="6"/>
      <c r="H20">
        <v>2</v>
      </c>
      <c r="L20">
        <v>5.92</v>
      </c>
      <c r="O20">
        <v>0.59079999999999999</v>
      </c>
      <c r="P20">
        <v>27.176100000000002</v>
      </c>
      <c r="Q20" s="5">
        <v>16.388680842381952</v>
      </c>
      <c r="R20" s="15">
        <f t="shared" si="0"/>
        <v>273.74079999999998</v>
      </c>
      <c r="S20">
        <f t="shared" si="5"/>
        <v>336.66</v>
      </c>
      <c r="T20">
        <f t="shared" si="6"/>
        <v>1</v>
      </c>
      <c r="U20" s="4">
        <f t="shared" si="3"/>
        <v>4.8654993027782339E-2</v>
      </c>
      <c r="V20" s="5">
        <f t="shared" si="4"/>
        <v>16.380189952733204</v>
      </c>
      <c r="W20" s="50">
        <f t="shared" si="7"/>
        <v>100.05183633201598</v>
      </c>
    </row>
    <row r="21" spans="1:23" x14ac:dyDescent="0.25">
      <c r="A21" t="s">
        <v>36</v>
      </c>
      <c r="G21" s="6"/>
      <c r="H21">
        <v>2</v>
      </c>
      <c r="L21">
        <v>90.07</v>
      </c>
      <c r="O21">
        <v>3.3999999999999998E-3</v>
      </c>
      <c r="P21">
        <v>32.5199</v>
      </c>
      <c r="Q21"/>
      <c r="R21" s="15">
        <f t="shared" si="0"/>
        <v>273.15339999999998</v>
      </c>
      <c r="S21">
        <f t="shared" si="5"/>
        <v>336.66</v>
      </c>
      <c r="T21">
        <f t="shared" si="6"/>
        <v>1</v>
      </c>
      <c r="U21" s="4">
        <f t="shared" si="3"/>
        <v>4.8263093638643499E-2</v>
      </c>
      <c r="V21" s="5">
        <f t="shared" si="4"/>
        <v>16.248253104385721</v>
      </c>
      <c r="W21" s="50"/>
    </row>
    <row r="22" spans="1:23" x14ac:dyDescent="0.25">
      <c r="A22" t="s">
        <v>37</v>
      </c>
      <c r="G22" s="6"/>
      <c r="H22">
        <v>3</v>
      </c>
      <c r="L22">
        <v>9.89</v>
      </c>
      <c r="O22">
        <v>0.2225</v>
      </c>
      <c r="P22">
        <v>29.1919</v>
      </c>
      <c r="Q22" s="5">
        <v>16.11366295295667</v>
      </c>
      <c r="R22" s="15">
        <f t="shared" si="0"/>
        <v>273.3725</v>
      </c>
      <c r="S22">
        <f t="shared" si="5"/>
        <v>336.66</v>
      </c>
      <c r="T22">
        <f t="shared" si="6"/>
        <v>1</v>
      </c>
      <c r="U22" s="4">
        <f t="shared" si="3"/>
        <v>4.8800163076157692E-2</v>
      </c>
      <c r="V22" s="5">
        <f t="shared" si="4"/>
        <v>16.42906290121925</v>
      </c>
      <c r="W22" s="50">
        <f t="shared" si="7"/>
        <v>98.080231659231316</v>
      </c>
    </row>
    <row r="23" spans="1:23" x14ac:dyDescent="0.25">
      <c r="A23" t="s">
        <v>38</v>
      </c>
      <c r="G23" s="6"/>
      <c r="H23">
        <v>3</v>
      </c>
      <c r="I23" s="44"/>
      <c r="J23" s="44"/>
      <c r="L23">
        <v>175.03</v>
      </c>
      <c r="O23">
        <v>1.3925000000000001</v>
      </c>
      <c r="P23">
        <v>33.594700000000003</v>
      </c>
      <c r="Q23"/>
      <c r="R23" s="15">
        <f t="shared" si="0"/>
        <v>274.54249999999996</v>
      </c>
      <c r="S23">
        <f t="shared" si="5"/>
        <v>336.66</v>
      </c>
      <c r="T23">
        <f t="shared" si="6"/>
        <v>1</v>
      </c>
      <c r="U23" s="4">
        <f t="shared" si="3"/>
        <v>4.5325335624580895E-2</v>
      </c>
      <c r="V23" s="5">
        <f t="shared" si="4"/>
        <v>15.259227491371405</v>
      </c>
      <c r="W23" s="50"/>
    </row>
    <row r="24" spans="1:23" x14ac:dyDescent="0.25">
      <c r="G24" s="6"/>
      <c r="H24">
        <v>3</v>
      </c>
      <c r="I24" s="44"/>
      <c r="J24" s="44"/>
      <c r="L24">
        <v>249.97</v>
      </c>
      <c r="O24">
        <v>3.5333000000000001</v>
      </c>
      <c r="P24">
        <v>34.361499999999999</v>
      </c>
      <c r="Q24"/>
      <c r="R24" s="15">
        <f t="shared" si="0"/>
        <v>276.68329999999997</v>
      </c>
      <c r="S24">
        <f t="shared" si="5"/>
        <v>336.66</v>
      </c>
      <c r="T24">
        <f t="shared" si="6"/>
        <v>1</v>
      </c>
      <c r="U24" s="4">
        <f t="shared" si="3"/>
        <v>4.1464898717045166E-2</v>
      </c>
      <c r="V24" s="5">
        <f t="shared" si="4"/>
        <v>13.959572802080427</v>
      </c>
      <c r="W24" s="50"/>
    </row>
    <row r="25" spans="1:23" x14ac:dyDescent="0.25">
      <c r="G25" s="6"/>
      <c r="H25">
        <v>3</v>
      </c>
      <c r="I25" s="44"/>
      <c r="J25" s="44"/>
      <c r="L25">
        <v>3.08</v>
      </c>
      <c r="O25">
        <v>1.2716000000000001</v>
      </c>
      <c r="P25">
        <v>23.1983</v>
      </c>
      <c r="Q25" s="5">
        <v>15.997860282782598</v>
      </c>
      <c r="R25" s="15">
        <f t="shared" si="0"/>
        <v>274.42159999999996</v>
      </c>
      <c r="S25">
        <f t="shared" si="5"/>
        <v>336.66</v>
      </c>
      <c r="T25">
        <f t="shared" si="6"/>
        <v>1</v>
      </c>
      <c r="U25" s="4">
        <f t="shared" si="3"/>
        <v>4.8461627032833347E-2</v>
      </c>
      <c r="V25" s="5">
        <f t="shared" si="4"/>
        <v>16.315091356873676</v>
      </c>
      <c r="W25" s="50">
        <f t="shared" si="7"/>
        <v>98.055597316913421</v>
      </c>
    </row>
    <row r="26" spans="1:23" x14ac:dyDescent="0.25">
      <c r="G26" s="6"/>
      <c r="H26">
        <v>3</v>
      </c>
      <c r="I26" s="44"/>
      <c r="J26" s="44"/>
      <c r="L26">
        <v>34.630000000000003</v>
      </c>
      <c r="O26">
        <v>1.3549</v>
      </c>
      <c r="P26">
        <v>31.489100000000001</v>
      </c>
      <c r="Q26" s="5">
        <v>15.512427344338928</v>
      </c>
      <c r="R26" s="15">
        <f t="shared" si="0"/>
        <v>274.50489999999996</v>
      </c>
      <c r="S26">
        <f t="shared" si="5"/>
        <v>336.66</v>
      </c>
      <c r="T26">
        <f t="shared" si="6"/>
        <v>1</v>
      </c>
      <c r="U26" s="4">
        <f t="shared" si="3"/>
        <v>4.5967453893958315E-2</v>
      </c>
      <c r="V26" s="5">
        <f t="shared" si="4"/>
        <v>15.475403027940008</v>
      </c>
      <c r="W26" s="50">
        <f t="shared" si="7"/>
        <v>100.23924621757556</v>
      </c>
    </row>
    <row r="27" spans="1:23" x14ac:dyDescent="0.25">
      <c r="G27" s="6"/>
      <c r="H27">
        <v>3</v>
      </c>
      <c r="I27" s="44"/>
      <c r="J27" s="44"/>
      <c r="L27">
        <v>550.16</v>
      </c>
      <c r="O27">
        <v>4.3803000000000001</v>
      </c>
      <c r="P27">
        <v>34.722900000000003</v>
      </c>
      <c r="Q27"/>
      <c r="R27" s="15">
        <f t="shared" si="0"/>
        <v>277.53029999999995</v>
      </c>
      <c r="S27">
        <f t="shared" si="5"/>
        <v>336.66</v>
      </c>
      <c r="T27">
        <f t="shared" si="6"/>
        <v>1</v>
      </c>
      <c r="U27" s="4">
        <f t="shared" si="3"/>
        <v>4.0047437798759737E-2</v>
      </c>
      <c r="V27" s="5">
        <f t="shared" si="4"/>
        <v>13.482370409330453</v>
      </c>
      <c r="W27" s="50"/>
    </row>
    <row r="28" spans="1:23" x14ac:dyDescent="0.25">
      <c r="G28" s="6"/>
      <c r="H28">
        <v>3</v>
      </c>
      <c r="I28" s="44"/>
      <c r="J28" s="44"/>
      <c r="L28">
        <v>85.38</v>
      </c>
      <c r="O28">
        <v>0.1583</v>
      </c>
      <c r="P28">
        <v>32.460799999999999</v>
      </c>
      <c r="Q28" s="5">
        <v>16.896568074546124</v>
      </c>
      <c r="R28" s="15">
        <f t="shared" si="0"/>
        <v>273.30829999999997</v>
      </c>
      <c r="S28">
        <f t="shared" si="5"/>
        <v>336.66</v>
      </c>
      <c r="T28">
        <f t="shared" si="6"/>
        <v>1</v>
      </c>
      <c r="U28" s="4">
        <f t="shared" si="3"/>
        <v>4.7974800059138366E-2</v>
      </c>
      <c r="V28" s="5">
        <f t="shared" si="4"/>
        <v>16.151196187909523</v>
      </c>
      <c r="W28" s="50">
        <f t="shared" si="7"/>
        <v>104.61496398139583</v>
      </c>
    </row>
    <row r="29" spans="1:23" x14ac:dyDescent="0.25">
      <c r="G29" s="6"/>
      <c r="H29">
        <v>4</v>
      </c>
      <c r="I29" s="44"/>
      <c r="J29" s="44"/>
      <c r="L29">
        <v>2.0499999999999998</v>
      </c>
      <c r="O29">
        <v>4.1075999999999997</v>
      </c>
      <c r="P29">
        <v>18.4008</v>
      </c>
      <c r="Q29" s="5">
        <v>14.997563919440807</v>
      </c>
      <c r="R29" s="15">
        <f t="shared" si="0"/>
        <v>277.25759999999997</v>
      </c>
      <c r="S29">
        <f t="shared" si="5"/>
        <v>336.66</v>
      </c>
      <c r="T29">
        <f t="shared" si="6"/>
        <v>1</v>
      </c>
      <c r="U29" s="4">
        <f t="shared" si="3"/>
        <v>4.4509325866066991E-2</v>
      </c>
      <c r="V29" s="5">
        <f t="shared" si="4"/>
        <v>14.984509646070114</v>
      </c>
      <c r="W29" s="50">
        <f t="shared" si="7"/>
        <v>100.08711845551861</v>
      </c>
    </row>
    <row r="30" spans="1:23" x14ac:dyDescent="0.25">
      <c r="G30" s="6"/>
      <c r="H30">
        <v>4</v>
      </c>
      <c r="I30" s="44"/>
      <c r="J30" s="44"/>
      <c r="L30">
        <v>20.09</v>
      </c>
      <c r="O30">
        <v>0.48080000000000001</v>
      </c>
      <c r="P30">
        <v>30.383700000000001</v>
      </c>
      <c r="Q30"/>
      <c r="R30" s="15">
        <f t="shared" si="0"/>
        <v>273.63079999999997</v>
      </c>
      <c r="S30">
        <f t="shared" si="5"/>
        <v>336.66</v>
      </c>
      <c r="T30">
        <f t="shared" si="6"/>
        <v>1</v>
      </c>
      <c r="U30" s="4">
        <f t="shared" si="3"/>
        <v>4.7941805354444866E-2</v>
      </c>
      <c r="V30" s="5">
        <f t="shared" si="4"/>
        <v>16.140088190627409</v>
      </c>
      <c r="W30" s="50"/>
    </row>
    <row r="31" spans="1:23" x14ac:dyDescent="0.25">
      <c r="G31" s="6"/>
      <c r="H31">
        <v>4</v>
      </c>
      <c r="I31" s="44"/>
      <c r="J31" s="44"/>
      <c r="L31">
        <v>249.58</v>
      </c>
      <c r="O31">
        <v>3.5783</v>
      </c>
      <c r="P31">
        <v>34.378100000000003</v>
      </c>
      <c r="Q31" s="5">
        <v>15.66560612143058</v>
      </c>
      <c r="R31" s="15">
        <f t="shared" si="0"/>
        <v>276.72829999999999</v>
      </c>
      <c r="S31">
        <f t="shared" si="5"/>
        <v>336.66</v>
      </c>
      <c r="T31">
        <f t="shared" si="6"/>
        <v>1</v>
      </c>
      <c r="U31" s="4">
        <f t="shared" si="3"/>
        <v>4.1388520624215379E-2</v>
      </c>
      <c r="V31" s="5">
        <f t="shared" si="4"/>
        <v>13.93385935334835</v>
      </c>
      <c r="W31" s="50">
        <f t="shared" si="7"/>
        <v>112.42833535323497</v>
      </c>
    </row>
    <row r="32" spans="1:23" x14ac:dyDescent="0.25">
      <c r="G32" s="6"/>
      <c r="H32">
        <v>4</v>
      </c>
      <c r="I32" s="44"/>
      <c r="J32" s="44"/>
      <c r="L32">
        <v>34.380000000000003</v>
      </c>
      <c r="O32">
        <v>1.1226</v>
      </c>
      <c r="P32">
        <v>31.4207</v>
      </c>
      <c r="Q32" s="5">
        <v>15.75618095881544</v>
      </c>
      <c r="R32" s="15">
        <f t="shared" si="0"/>
        <v>274.27259999999995</v>
      </c>
      <c r="S32">
        <f t="shared" si="5"/>
        <v>336.66</v>
      </c>
      <c r="T32">
        <f t="shared" si="6"/>
        <v>1</v>
      </c>
      <c r="U32" s="4">
        <f t="shared" si="3"/>
        <v>4.6418960802152673E-2</v>
      </c>
      <c r="V32" s="5">
        <f t="shared" si="4"/>
        <v>15.62740734365272</v>
      </c>
      <c r="W32" s="50">
        <f t="shared" si="7"/>
        <v>100.82402417964119</v>
      </c>
    </row>
    <row r="33" spans="7:23" x14ac:dyDescent="0.25">
      <c r="G33" s="6"/>
      <c r="H33">
        <v>4</v>
      </c>
      <c r="L33">
        <v>546.44000000000005</v>
      </c>
      <c r="O33">
        <v>4.4084000000000003</v>
      </c>
      <c r="P33">
        <v>34.728000000000002</v>
      </c>
      <c r="Q33" s="5">
        <v>14.572579461068258</v>
      </c>
      <c r="R33" s="15">
        <f t="shared" si="0"/>
        <v>277.55840000000001</v>
      </c>
      <c r="S33">
        <f t="shared" si="5"/>
        <v>336.66</v>
      </c>
      <c r="T33">
        <f t="shared" si="6"/>
        <v>1</v>
      </c>
      <c r="U33" s="4">
        <f t="shared" si="3"/>
        <v>4.0003151799856473E-2</v>
      </c>
      <c r="V33" s="5">
        <f t="shared" si="4"/>
        <v>13.467461084939682</v>
      </c>
      <c r="W33" s="50">
        <f t="shared" si="7"/>
        <v>108.20584050073403</v>
      </c>
    </row>
    <row r="34" spans="7:23" x14ac:dyDescent="0.25">
      <c r="G34" s="6"/>
      <c r="H34">
        <v>4</v>
      </c>
      <c r="L34">
        <v>5.93</v>
      </c>
      <c r="O34">
        <v>0.88060000000000005</v>
      </c>
      <c r="P34">
        <v>27.480799999999999</v>
      </c>
      <c r="Q34" s="5">
        <v>15.312602670166349</v>
      </c>
      <c r="R34" s="15">
        <f t="shared" si="0"/>
        <v>274.03059999999999</v>
      </c>
      <c r="S34">
        <f t="shared" si="5"/>
        <v>336.66</v>
      </c>
      <c r="T34">
        <f t="shared" si="6"/>
        <v>1</v>
      </c>
      <c r="U34" s="4">
        <f t="shared" si="3"/>
        <v>4.7994841856102574E-2</v>
      </c>
      <c r="V34" s="5">
        <f t="shared" si="4"/>
        <v>16.157943459275494</v>
      </c>
      <c r="W34" s="50">
        <f t="shared" si="7"/>
        <v>94.768264963671015</v>
      </c>
    </row>
    <row r="35" spans="7:23" x14ac:dyDescent="0.25">
      <c r="G35" s="6"/>
      <c r="H35">
        <v>4</v>
      </c>
      <c r="L35">
        <v>70.33</v>
      </c>
      <c r="O35">
        <v>0.32219999999999999</v>
      </c>
      <c r="P35">
        <v>32.322200000000002</v>
      </c>
      <c r="Q35" s="5">
        <v>16.504612789767386</v>
      </c>
      <c r="R35" s="15">
        <f t="shared" si="0"/>
        <v>273.47219999999999</v>
      </c>
      <c r="S35">
        <f t="shared" si="5"/>
        <v>336.66</v>
      </c>
      <c r="T35">
        <f t="shared" si="6"/>
        <v>1</v>
      </c>
      <c r="U35" s="4">
        <f t="shared" si="3"/>
        <v>4.7694180025250041E-2</v>
      </c>
      <c r="V35" s="5">
        <f t="shared" si="4"/>
        <v>16.056722647300681</v>
      </c>
      <c r="W35" s="50">
        <f t="shared" si="7"/>
        <v>102.78942441932257</v>
      </c>
    </row>
    <row r="36" spans="7:23" x14ac:dyDescent="0.25">
      <c r="G36" s="6"/>
      <c r="H36">
        <v>6</v>
      </c>
      <c r="L36">
        <v>99.83</v>
      </c>
      <c r="O36">
        <v>0.68479999999999996</v>
      </c>
      <c r="P36">
        <v>31.559899999999999</v>
      </c>
      <c r="Q36"/>
      <c r="R36" s="15">
        <f t="shared" si="0"/>
        <v>273.83479999999997</v>
      </c>
      <c r="S36">
        <f t="shared" si="5"/>
        <v>336.66</v>
      </c>
      <c r="T36">
        <f t="shared" si="6"/>
        <v>1</v>
      </c>
      <c r="U36" s="4">
        <f t="shared" si="3"/>
        <v>4.7210429625772418E-2</v>
      </c>
      <c r="V36" s="5">
        <f t="shared" si="4"/>
        <v>15.893863237812543</v>
      </c>
      <c r="W36" s="50"/>
    </row>
    <row r="37" spans="7:23" x14ac:dyDescent="0.25">
      <c r="G37" s="6"/>
      <c r="H37">
        <v>6</v>
      </c>
      <c r="L37">
        <v>169.72</v>
      </c>
      <c r="O37">
        <v>-3.9199999999999999E-2</v>
      </c>
      <c r="P37">
        <v>32.819899999999997</v>
      </c>
      <c r="Q37" s="5">
        <v>18.286058420432777</v>
      </c>
      <c r="R37" s="15">
        <f t="shared" si="0"/>
        <v>273.11079999999998</v>
      </c>
      <c r="S37">
        <f t="shared" si="5"/>
        <v>336.66</v>
      </c>
      <c r="T37">
        <f t="shared" si="6"/>
        <v>1</v>
      </c>
      <c r="U37" s="4">
        <f t="shared" si="3"/>
        <v>4.8260087713843346E-2</v>
      </c>
      <c r="V37" s="5">
        <f t="shared" si="4"/>
        <v>16.247241129742502</v>
      </c>
      <c r="W37" s="50">
        <f t="shared" si="7"/>
        <v>112.54869841845321</v>
      </c>
    </row>
    <row r="38" spans="7:23" x14ac:dyDescent="0.25">
      <c r="G38" s="6"/>
      <c r="H38">
        <v>6</v>
      </c>
      <c r="L38">
        <v>19.54</v>
      </c>
      <c r="O38">
        <v>0.71879999999999999</v>
      </c>
      <c r="P38">
        <v>29.401299999999999</v>
      </c>
      <c r="Q38" s="5">
        <v>16.299479313443801</v>
      </c>
      <c r="R38" s="15">
        <f t="shared" si="0"/>
        <v>273.86879999999996</v>
      </c>
      <c r="S38">
        <f t="shared" si="5"/>
        <v>336.66</v>
      </c>
      <c r="T38">
        <f t="shared" si="6"/>
        <v>1</v>
      </c>
      <c r="U38" s="4">
        <f t="shared" si="3"/>
        <v>4.7759447272231574E-2</v>
      </c>
      <c r="V38" s="5">
        <f t="shared" si="4"/>
        <v>16.078695518669484</v>
      </c>
      <c r="W38" s="50">
        <f t="shared" si="7"/>
        <v>101.37314494523488</v>
      </c>
    </row>
    <row r="39" spans="7:23" x14ac:dyDescent="0.25">
      <c r="G39" s="6"/>
      <c r="H39">
        <v>6</v>
      </c>
      <c r="I39" s="44"/>
      <c r="J39" s="44"/>
      <c r="L39">
        <v>3.16</v>
      </c>
      <c r="O39">
        <v>0.85470000000000002</v>
      </c>
      <c r="P39">
        <v>28.783999999999999</v>
      </c>
      <c r="Q39" s="5">
        <v>16.584541425992462</v>
      </c>
      <c r="R39" s="15">
        <f t="shared" si="0"/>
        <v>274.00469999999996</v>
      </c>
      <c r="S39">
        <f t="shared" si="5"/>
        <v>336.66</v>
      </c>
      <c r="T39">
        <f t="shared" si="6"/>
        <v>1</v>
      </c>
      <c r="U39" s="4">
        <f t="shared" si="3"/>
        <v>4.7671955660344427E-2</v>
      </c>
      <c r="V39" s="5">
        <f t="shared" si="4"/>
        <v>16.049240592611557</v>
      </c>
      <c r="W39" s="50">
        <f t="shared" si="7"/>
        <v>103.33536549777524</v>
      </c>
    </row>
    <row r="40" spans="7:23" x14ac:dyDescent="0.25">
      <c r="G40" s="6"/>
      <c r="H40">
        <v>6</v>
      </c>
      <c r="I40" s="44"/>
      <c r="J40" s="44"/>
      <c r="L40">
        <v>40.15</v>
      </c>
      <c r="O40">
        <v>0.78969999999999996</v>
      </c>
      <c r="P40">
        <v>30.724699999999999</v>
      </c>
      <c r="Q40"/>
      <c r="R40" s="15">
        <f t="shared" si="0"/>
        <v>273.93969999999996</v>
      </c>
      <c r="S40">
        <f t="shared" si="5"/>
        <v>336.66</v>
      </c>
      <c r="T40">
        <f t="shared" si="6"/>
        <v>1</v>
      </c>
      <c r="U40" s="4">
        <f t="shared" si="3"/>
        <v>4.724557656623056E-2</v>
      </c>
      <c r="V40" s="5">
        <f t="shared" si="4"/>
        <v>15.905695806787181</v>
      </c>
      <c r="W40" s="50"/>
    </row>
    <row r="41" spans="7:23" x14ac:dyDescent="0.25">
      <c r="G41" s="6"/>
      <c r="H41">
        <v>6</v>
      </c>
      <c r="I41" s="44"/>
      <c r="J41" s="44"/>
      <c r="L41">
        <v>5.81</v>
      </c>
      <c r="O41">
        <v>0.83240000000000003</v>
      </c>
      <c r="P41">
        <v>28.851700000000001</v>
      </c>
      <c r="Q41" s="5">
        <v>16.407743749988882</v>
      </c>
      <c r="R41" s="15">
        <f t="shared" si="0"/>
        <v>273.98239999999998</v>
      </c>
      <c r="S41">
        <f t="shared" si="5"/>
        <v>336.66</v>
      </c>
      <c r="T41">
        <f t="shared" si="6"/>
        <v>1</v>
      </c>
      <c r="U41" s="4">
        <f t="shared" si="3"/>
        <v>4.7695889544098362E-2</v>
      </c>
      <c r="V41" s="5">
        <f t="shared" si="4"/>
        <v>16.057298173916156</v>
      </c>
      <c r="W41" s="50">
        <f t="shared" si="7"/>
        <v>102.18246913196143</v>
      </c>
    </row>
    <row r="42" spans="7:23" x14ac:dyDescent="0.25">
      <c r="G42" s="6"/>
      <c r="H42">
        <v>7</v>
      </c>
      <c r="I42" s="44"/>
      <c r="J42" s="44"/>
      <c r="L42">
        <v>99.99</v>
      </c>
      <c r="O42">
        <v>0.66579999999999995</v>
      </c>
      <c r="P42">
        <v>31.569900000000001</v>
      </c>
      <c r="Q42"/>
      <c r="R42" s="15">
        <f t="shared" si="0"/>
        <v>273.81579999999997</v>
      </c>
      <c r="S42">
        <f t="shared" si="5"/>
        <v>336.66</v>
      </c>
      <c r="T42">
        <f t="shared" si="6"/>
        <v>1</v>
      </c>
      <c r="U42" s="4">
        <f t="shared" si="3"/>
        <v>4.7244079442477112E-2</v>
      </c>
      <c r="V42" s="5">
        <f t="shared" si="4"/>
        <v>15.905191785104346</v>
      </c>
      <c r="W42" s="50"/>
    </row>
    <row r="43" spans="7:23" x14ac:dyDescent="0.25">
      <c r="G43" s="6"/>
      <c r="H43">
        <v>7</v>
      </c>
      <c r="I43" s="44"/>
      <c r="J43" s="44"/>
      <c r="L43">
        <v>2.99</v>
      </c>
      <c r="O43">
        <v>0.85899999999999999</v>
      </c>
      <c r="P43">
        <v>28.582899999999999</v>
      </c>
      <c r="Q43"/>
      <c r="R43" s="15">
        <f t="shared" si="0"/>
        <v>274.00899999999996</v>
      </c>
      <c r="S43">
        <f t="shared" si="5"/>
        <v>336.66</v>
      </c>
      <c r="T43">
        <f t="shared" si="6"/>
        <v>1</v>
      </c>
      <c r="U43" s="4">
        <f t="shared" si="3"/>
        <v>4.7721059219018799E-2</v>
      </c>
      <c r="V43" s="5">
        <f t="shared" si="4"/>
        <v>16.06577179667487</v>
      </c>
      <c r="W43" s="50"/>
    </row>
    <row r="44" spans="7:23" x14ac:dyDescent="0.25">
      <c r="G44" s="6"/>
      <c r="H44">
        <v>7</v>
      </c>
      <c r="I44" s="44"/>
      <c r="J44" s="44"/>
      <c r="L44">
        <v>30.07</v>
      </c>
      <c r="O44">
        <v>0.72109999999999996</v>
      </c>
      <c r="P44">
        <v>29.625800000000002</v>
      </c>
      <c r="Q44"/>
      <c r="R44" s="15">
        <f t="shared" si="0"/>
        <v>273.87109999999996</v>
      </c>
      <c r="S44">
        <f t="shared" si="5"/>
        <v>336.66</v>
      </c>
      <c r="T44">
        <f t="shared" si="6"/>
        <v>1</v>
      </c>
      <c r="U44" s="4">
        <f t="shared" si="3"/>
        <v>4.7690729269532425E-2</v>
      </c>
      <c r="V44" s="5">
        <f t="shared" si="4"/>
        <v>16.055560915880786</v>
      </c>
      <c r="W44" s="50"/>
    </row>
    <row r="45" spans="7:23" x14ac:dyDescent="0.25">
      <c r="G45" s="6"/>
      <c r="H45">
        <v>7</v>
      </c>
      <c r="I45" s="44"/>
      <c r="J45" s="44"/>
      <c r="L45">
        <v>6.07</v>
      </c>
      <c r="O45">
        <v>0.82089999999999996</v>
      </c>
      <c r="P45">
        <v>28.6599</v>
      </c>
      <c r="Q45"/>
      <c r="R45" s="15">
        <f t="shared" si="0"/>
        <v>273.97089999999997</v>
      </c>
      <c r="S45">
        <f t="shared" si="5"/>
        <v>336.66</v>
      </c>
      <c r="T45">
        <f t="shared" si="6"/>
        <v>1</v>
      </c>
      <c r="U45" s="4">
        <f t="shared" si="3"/>
        <v>4.7773085424864643E-2</v>
      </c>
      <c r="V45" s="5">
        <f t="shared" si="4"/>
        <v>16.083286939134933</v>
      </c>
      <c r="W45" s="50"/>
    </row>
    <row r="46" spans="7:23" x14ac:dyDescent="0.25">
      <c r="G46" s="6"/>
      <c r="H46">
        <v>7</v>
      </c>
      <c r="I46" s="44"/>
      <c r="J46" s="44"/>
      <c r="L46">
        <v>74.95</v>
      </c>
      <c r="O46">
        <v>0.78979999999999995</v>
      </c>
      <c r="P46">
        <v>31.3368</v>
      </c>
      <c r="Q46"/>
      <c r="R46" s="15">
        <f t="shared" si="0"/>
        <v>273.93979999999999</v>
      </c>
      <c r="S46">
        <f t="shared" si="5"/>
        <v>336.66</v>
      </c>
      <c r="T46">
        <f t="shared" si="6"/>
        <v>1</v>
      </c>
      <c r="U46" s="4">
        <f t="shared" si="3"/>
        <v>4.7072396192576096E-2</v>
      </c>
      <c r="V46" s="5">
        <f t="shared" si="4"/>
        <v>15.84739290219267</v>
      </c>
      <c r="W46" s="50"/>
    </row>
    <row r="47" spans="7:23" x14ac:dyDescent="0.25">
      <c r="G47" s="6"/>
      <c r="H47">
        <v>10</v>
      </c>
      <c r="I47" s="44"/>
      <c r="J47" s="44"/>
      <c r="L47">
        <v>150.05000000000001</v>
      </c>
      <c r="O47">
        <v>1.0612999999999999</v>
      </c>
      <c r="P47">
        <v>33.487099999999998</v>
      </c>
      <c r="Q47"/>
      <c r="R47" s="15">
        <f t="shared" si="0"/>
        <v>274.21129999999999</v>
      </c>
      <c r="S47">
        <f t="shared" si="5"/>
        <v>336.66</v>
      </c>
      <c r="T47">
        <f t="shared" si="6"/>
        <v>1</v>
      </c>
      <c r="U47" s="4">
        <f t="shared" si="3"/>
        <v>4.5962685467045447E-2</v>
      </c>
      <c r="V47" s="5">
        <f t="shared" si="4"/>
        <v>15.473797689335521</v>
      </c>
      <c r="W47" s="50"/>
    </row>
    <row r="48" spans="7:23" x14ac:dyDescent="0.25">
      <c r="G48" s="6"/>
      <c r="H48">
        <v>10</v>
      </c>
      <c r="I48" s="44"/>
      <c r="J48" s="44"/>
      <c r="L48">
        <v>249.94</v>
      </c>
      <c r="O48">
        <v>3.7065000000000001</v>
      </c>
      <c r="P48">
        <v>34.4495</v>
      </c>
      <c r="Q48"/>
      <c r="R48" s="15">
        <f t="shared" si="0"/>
        <v>276.85649999999998</v>
      </c>
      <c r="S48">
        <f t="shared" si="5"/>
        <v>336.66</v>
      </c>
      <c r="T48">
        <f t="shared" si="6"/>
        <v>1</v>
      </c>
      <c r="U48" s="4">
        <f t="shared" si="3"/>
        <v>4.1166169711558169E-2</v>
      </c>
      <c r="V48" s="5">
        <f t="shared" si="4"/>
        <v>13.859002695093174</v>
      </c>
      <c r="W48" s="50"/>
    </row>
    <row r="49" spans="7:23" x14ac:dyDescent="0.25">
      <c r="G49" s="6"/>
      <c r="H49">
        <v>10</v>
      </c>
      <c r="L49">
        <v>2.96</v>
      </c>
      <c r="O49">
        <v>1.3993</v>
      </c>
      <c r="P49">
        <v>25.4056</v>
      </c>
      <c r="Q49" s="5">
        <v>14.303868138578453</v>
      </c>
      <c r="R49" s="15">
        <f t="shared" si="0"/>
        <v>274.54929999999996</v>
      </c>
      <c r="S49">
        <f t="shared" si="5"/>
        <v>336.66</v>
      </c>
      <c r="T49">
        <f t="shared" si="6"/>
        <v>1</v>
      </c>
      <c r="U49" s="4">
        <f t="shared" si="3"/>
        <v>4.758026226479678E-2</v>
      </c>
      <c r="V49" s="5">
        <f t="shared" si="4"/>
        <v>16.018371094066485</v>
      </c>
      <c r="W49" s="50">
        <f t="shared" si="7"/>
        <v>89.296646048341856</v>
      </c>
    </row>
    <row r="50" spans="7:23" x14ac:dyDescent="0.25">
      <c r="G50" s="6"/>
      <c r="H50">
        <v>10</v>
      </c>
      <c r="L50">
        <v>29.97</v>
      </c>
      <c r="O50">
        <v>0.8377</v>
      </c>
      <c r="P50">
        <v>31.3248</v>
      </c>
      <c r="Q50" s="5">
        <v>14.086109570134457</v>
      </c>
      <c r="R50" s="15">
        <f t="shared" si="0"/>
        <v>273.98769999999996</v>
      </c>
      <c r="S50">
        <f t="shared" si="5"/>
        <v>336.66</v>
      </c>
      <c r="T50">
        <f t="shared" si="6"/>
        <v>1</v>
      </c>
      <c r="U50" s="4">
        <f t="shared" si="3"/>
        <v>4.6984354746734937E-2</v>
      </c>
      <c r="V50" s="5">
        <f t="shared" si="4"/>
        <v>15.817752869035784</v>
      </c>
      <c r="W50" s="50">
        <f t="shared" si="7"/>
        <v>89.052532851925363</v>
      </c>
    </row>
    <row r="51" spans="7:23" x14ac:dyDescent="0.25">
      <c r="G51" s="6"/>
      <c r="H51">
        <v>10</v>
      </c>
      <c r="L51">
        <v>399.91</v>
      </c>
      <c r="O51">
        <v>4.3202999999999996</v>
      </c>
      <c r="P51">
        <v>34.689500000000002</v>
      </c>
      <c r="Q51" s="5">
        <v>13.190226995967723</v>
      </c>
      <c r="R51" s="15">
        <f t="shared" si="0"/>
        <v>277.47029999999995</v>
      </c>
      <c r="S51">
        <f t="shared" si="5"/>
        <v>336.66</v>
      </c>
      <c r="T51">
        <f t="shared" si="6"/>
        <v>1</v>
      </c>
      <c r="U51" s="4">
        <f t="shared" si="3"/>
        <v>4.0147483504015272E-2</v>
      </c>
      <c r="V51" s="5">
        <f t="shared" si="4"/>
        <v>13.516051796461783</v>
      </c>
      <c r="W51" s="50">
        <f t="shared" si="7"/>
        <v>97.589349275952358</v>
      </c>
    </row>
    <row r="52" spans="7:23" x14ac:dyDescent="0.25">
      <c r="G52" s="6"/>
      <c r="H52">
        <v>10</v>
      </c>
      <c r="L52">
        <v>5.95</v>
      </c>
      <c r="O52">
        <v>0.74509999999999998</v>
      </c>
      <c r="P52">
        <v>28.315799999999999</v>
      </c>
      <c r="Q52" s="5">
        <v>15.863547078428537</v>
      </c>
      <c r="R52" s="15">
        <f t="shared" si="0"/>
        <v>273.89509999999996</v>
      </c>
      <c r="S52">
        <f t="shared" si="5"/>
        <v>336.66</v>
      </c>
      <c r="T52">
        <f t="shared" si="6"/>
        <v>1</v>
      </c>
      <c r="U52" s="4">
        <f t="shared" si="3"/>
        <v>4.8019794034707831E-2</v>
      </c>
      <c r="V52" s="5">
        <f t="shared" si="4"/>
        <v>16.166343859724741</v>
      </c>
      <c r="W52" s="50">
        <f t="shared" si="7"/>
        <v>98.126992819628427</v>
      </c>
    </row>
    <row r="53" spans="7:23" x14ac:dyDescent="0.25">
      <c r="G53" s="6"/>
      <c r="H53">
        <v>12</v>
      </c>
      <c r="L53">
        <v>19.940000000000001</v>
      </c>
      <c r="O53">
        <v>0.79390000000000005</v>
      </c>
      <c r="P53">
        <v>30.2563</v>
      </c>
      <c r="Q53" s="5">
        <v>15.307825352741355</v>
      </c>
      <c r="R53" s="15">
        <f t="shared" si="0"/>
        <v>273.94389999999999</v>
      </c>
      <c r="S53">
        <f t="shared" si="5"/>
        <v>336.66</v>
      </c>
      <c r="T53">
        <f t="shared" si="6"/>
        <v>1</v>
      </c>
      <c r="U53" s="4">
        <f t="shared" si="3"/>
        <v>4.7370294493462313E-2</v>
      </c>
      <c r="V53" s="5">
        <f t="shared" si="4"/>
        <v>15.947683344169024</v>
      </c>
      <c r="W53" s="50">
        <f t="shared" si="7"/>
        <v>95.987768394826944</v>
      </c>
    </row>
    <row r="54" spans="7:23" x14ac:dyDescent="0.25">
      <c r="G54" s="6"/>
      <c r="H54">
        <v>12</v>
      </c>
      <c r="L54">
        <v>250.01</v>
      </c>
      <c r="O54">
        <v>3.4792999999999998</v>
      </c>
      <c r="P54">
        <v>34.390099999999997</v>
      </c>
      <c r="Q54" s="5">
        <v>14.227331820570139</v>
      </c>
      <c r="R54" s="15">
        <f t="shared" si="0"/>
        <v>276.6293</v>
      </c>
      <c r="S54">
        <f t="shared" si="5"/>
        <v>336.66</v>
      </c>
      <c r="T54">
        <f t="shared" si="6"/>
        <v>1</v>
      </c>
      <c r="U54" s="4">
        <f t="shared" si="3"/>
        <v>4.1544991500206387E-2</v>
      </c>
      <c r="V54" s="5">
        <f t="shared" si="4"/>
        <v>13.986536838459482</v>
      </c>
      <c r="W54" s="50">
        <f t="shared" si="7"/>
        <v>101.72161976114438</v>
      </c>
    </row>
    <row r="55" spans="7:23" x14ac:dyDescent="0.25">
      <c r="G55" s="6"/>
      <c r="H55">
        <v>12</v>
      </c>
      <c r="L55">
        <v>2.92</v>
      </c>
      <c r="O55">
        <v>4.3794000000000004</v>
      </c>
      <c r="P55">
        <v>25.511299999999999</v>
      </c>
      <c r="Q55" s="5">
        <v>15.593849344881566</v>
      </c>
      <c r="R55" s="15">
        <f t="shared" si="0"/>
        <v>277.52939999999995</v>
      </c>
      <c r="S55">
        <f t="shared" si="5"/>
        <v>336.66</v>
      </c>
      <c r="T55">
        <f t="shared" si="6"/>
        <v>1</v>
      </c>
      <c r="U55" s="4">
        <f t="shared" si="3"/>
        <v>4.225346522332913E-2</v>
      </c>
      <c r="V55" s="5">
        <f t="shared" si="4"/>
        <v>14.225051602085985</v>
      </c>
      <c r="W55" s="50">
        <f t="shared" si="7"/>
        <v>109.62244483243111</v>
      </c>
    </row>
    <row r="56" spans="7:23" x14ac:dyDescent="0.25">
      <c r="G56" s="6"/>
      <c r="H56">
        <v>12</v>
      </c>
      <c r="I56" s="44"/>
      <c r="J56" s="44"/>
      <c r="L56">
        <v>399.94</v>
      </c>
      <c r="O56">
        <v>4.4653999999999998</v>
      </c>
      <c r="P56">
        <v>34.710599999999999</v>
      </c>
      <c r="Q56" s="5">
        <v>13.445316699699841</v>
      </c>
      <c r="R56" s="15">
        <f t="shared" si="0"/>
        <v>277.61539999999997</v>
      </c>
      <c r="S56">
        <f t="shared" si="5"/>
        <v>336.66</v>
      </c>
      <c r="T56">
        <f t="shared" si="6"/>
        <v>1</v>
      </c>
      <c r="U56" s="4">
        <f t="shared" si="3"/>
        <v>3.9919963327326072E-2</v>
      </c>
      <c r="V56" s="5">
        <f t="shared" si="4"/>
        <v>13.439454853777596</v>
      </c>
      <c r="W56" s="50">
        <f t="shared" si="7"/>
        <v>100.04361669417415</v>
      </c>
    </row>
    <row r="57" spans="7:23" x14ac:dyDescent="0.25">
      <c r="G57" s="6"/>
      <c r="H57">
        <v>12</v>
      </c>
      <c r="I57" s="44"/>
      <c r="J57" s="44"/>
      <c r="L57">
        <v>49.99</v>
      </c>
      <c r="O57">
        <v>0.42199999999999999</v>
      </c>
      <c r="P57">
        <v>32.050400000000003</v>
      </c>
      <c r="Q57" s="5">
        <v>15.304652424039181</v>
      </c>
      <c r="R57" s="15">
        <f t="shared" si="0"/>
        <v>273.572</v>
      </c>
      <c r="S57">
        <f t="shared" si="5"/>
        <v>336.66</v>
      </c>
      <c r="T57">
        <f t="shared" si="6"/>
        <v>1</v>
      </c>
      <c r="U57" s="4">
        <f t="shared" si="3"/>
        <v>4.7578017527778023E-2</v>
      </c>
      <c r="V57" s="5">
        <f t="shared" si="4"/>
        <v>16.017615380901752</v>
      </c>
      <c r="W57" s="50">
        <f t="shared" si="7"/>
        <v>95.548882028265865</v>
      </c>
    </row>
    <row r="58" spans="7:23" x14ac:dyDescent="0.25">
      <c r="G58" s="6"/>
      <c r="H58">
        <v>12</v>
      </c>
      <c r="I58" s="44"/>
      <c r="J58" s="44"/>
      <c r="L58">
        <v>6.91</v>
      </c>
      <c r="O58">
        <v>2.0727000000000002</v>
      </c>
      <c r="P58">
        <v>27.412400000000002</v>
      </c>
      <c r="Q58" s="5">
        <v>15.560672157916162</v>
      </c>
      <c r="R58" s="15">
        <f t="shared" si="0"/>
        <v>275.22269999999997</v>
      </c>
      <c r="S58">
        <f t="shared" si="5"/>
        <v>336.66</v>
      </c>
      <c r="T58">
        <f t="shared" si="6"/>
        <v>1</v>
      </c>
      <c r="U58" s="4">
        <f t="shared" si="3"/>
        <v>4.5758119644729832E-2</v>
      </c>
      <c r="V58" s="5">
        <f t="shared" si="4"/>
        <v>15.404928559594746</v>
      </c>
      <c r="W58" s="50">
        <f t="shared" si="7"/>
        <v>101.01099851076177</v>
      </c>
    </row>
    <row r="59" spans="7:23" x14ac:dyDescent="0.25">
      <c r="G59" s="6"/>
      <c r="H59">
        <v>12</v>
      </c>
      <c r="I59" s="44"/>
      <c r="J59" s="44"/>
      <c r="L59">
        <v>80.06</v>
      </c>
      <c r="O59">
        <v>-2.7300000000000001E-2</v>
      </c>
      <c r="P59">
        <v>32.485100000000003</v>
      </c>
      <c r="Q59" s="5">
        <v>16.056130908364942</v>
      </c>
      <c r="R59" s="15">
        <f t="shared" si="0"/>
        <v>273.12269999999995</v>
      </c>
      <c r="S59">
        <f t="shared" si="5"/>
        <v>336.66</v>
      </c>
      <c r="T59">
        <f t="shared" si="6"/>
        <v>1</v>
      </c>
      <c r="U59" s="4">
        <f t="shared" si="3"/>
        <v>4.8334081827216262E-2</v>
      </c>
      <c r="V59" s="5">
        <f t="shared" si="4"/>
        <v>16.272151987950629</v>
      </c>
      <c r="W59" s="50">
        <f t="shared" si="7"/>
        <v>98.672449226472025</v>
      </c>
    </row>
    <row r="60" spans="7:23" x14ac:dyDescent="0.25">
      <c r="H60">
        <v>14</v>
      </c>
      <c r="I60" s="44"/>
      <c r="J60" s="44"/>
      <c r="L60">
        <v>99.98</v>
      </c>
      <c r="O60">
        <v>0.313</v>
      </c>
      <c r="P60">
        <v>32.951000000000001</v>
      </c>
      <c r="Q60"/>
      <c r="R60" s="15">
        <f t="shared" si="0"/>
        <v>273.46299999999997</v>
      </c>
      <c r="S60">
        <f t="shared" si="5"/>
        <v>336.66</v>
      </c>
      <c r="T60">
        <f t="shared" si="6"/>
        <v>1</v>
      </c>
      <c r="U60" s="4">
        <f t="shared" si="3"/>
        <v>4.7531924153383781E-2</v>
      </c>
      <c r="V60" s="5">
        <f t="shared" si="4"/>
        <v>16.002097585478186</v>
      </c>
      <c r="W60" s="50"/>
    </row>
    <row r="61" spans="7:23" x14ac:dyDescent="0.25">
      <c r="G61" s="6"/>
      <c r="H61">
        <v>14</v>
      </c>
      <c r="L61">
        <v>11.9</v>
      </c>
      <c r="O61">
        <v>0.8044</v>
      </c>
      <c r="P61">
        <v>30.056999999999999</v>
      </c>
      <c r="Q61" s="5">
        <v>16.111751838776584</v>
      </c>
      <c r="R61" s="15">
        <f t="shared" si="0"/>
        <v>273.95439999999996</v>
      </c>
      <c r="S61">
        <f t="shared" si="5"/>
        <v>336.66</v>
      </c>
      <c r="T61">
        <f t="shared" si="6"/>
        <v>1</v>
      </c>
      <c r="U61" s="4">
        <f t="shared" si="3"/>
        <v>4.7406661428473121E-2</v>
      </c>
      <c r="V61" s="5">
        <f t="shared" si="4"/>
        <v>15.959926636509762</v>
      </c>
      <c r="W61" s="50">
        <f t="shared" si="7"/>
        <v>100.95129010129351</v>
      </c>
    </row>
    <row r="62" spans="7:23" x14ac:dyDescent="0.25">
      <c r="G62" s="6"/>
      <c r="H62">
        <v>14</v>
      </c>
      <c r="L62">
        <v>19.91</v>
      </c>
      <c r="O62">
        <v>1.3661000000000001</v>
      </c>
      <c r="P62">
        <v>31.127099999999999</v>
      </c>
      <c r="Q62" s="5">
        <v>15.628527700430029</v>
      </c>
      <c r="R62" s="15">
        <f t="shared" si="0"/>
        <v>274.51609999999999</v>
      </c>
      <c r="S62">
        <f t="shared" si="5"/>
        <v>336.66</v>
      </c>
      <c r="T62">
        <f t="shared" si="6"/>
        <v>1</v>
      </c>
      <c r="U62" s="4">
        <f t="shared" si="3"/>
        <v>4.6046041553627751E-2</v>
      </c>
      <c r="V62" s="5">
        <f t="shared" si="4"/>
        <v>15.501860349444319</v>
      </c>
      <c r="W62" s="50">
        <f t="shared" si="7"/>
        <v>100.81711064433792</v>
      </c>
    </row>
    <row r="63" spans="7:23" x14ac:dyDescent="0.25">
      <c r="G63" s="6"/>
      <c r="H63">
        <v>14</v>
      </c>
      <c r="L63">
        <v>80.11</v>
      </c>
      <c r="O63">
        <v>5.2900000000000003E-2</v>
      </c>
      <c r="P63">
        <v>32.609200000000001</v>
      </c>
      <c r="Q63" s="5">
        <v>14.107388098595809</v>
      </c>
      <c r="R63" s="15">
        <f t="shared" si="0"/>
        <v>273.2029</v>
      </c>
      <c r="S63">
        <f t="shared" si="5"/>
        <v>336.66</v>
      </c>
      <c r="T63">
        <f t="shared" si="6"/>
        <v>1</v>
      </c>
      <c r="U63" s="4">
        <f t="shared" si="3"/>
        <v>4.8139288429151827E-2</v>
      </c>
      <c r="V63" s="5">
        <f t="shared" si="4"/>
        <v>16.206572842558256</v>
      </c>
      <c r="W63" s="50">
        <f t="shared" si="7"/>
        <v>87.04732478386785</v>
      </c>
    </row>
    <row r="64" spans="7:23" x14ac:dyDescent="0.25">
      <c r="G64" s="6"/>
      <c r="H64">
        <v>14</v>
      </c>
      <c r="L64">
        <v>2.93</v>
      </c>
      <c r="O64">
        <v>2.9022999999999999</v>
      </c>
      <c r="P64">
        <v>27.584099999999999</v>
      </c>
      <c r="Q64" s="5">
        <v>15.320339258796686</v>
      </c>
      <c r="R64" s="15">
        <f t="shared" si="0"/>
        <v>276.0523</v>
      </c>
      <c r="S64">
        <f t="shared" si="5"/>
        <v>336.66</v>
      </c>
      <c r="T64">
        <f t="shared" si="6"/>
        <v>1</v>
      </c>
      <c r="U64" s="4">
        <f t="shared" si="3"/>
        <v>4.422831075195495E-2</v>
      </c>
      <c r="V64" s="5">
        <f t="shared" si="4"/>
        <v>14.889903097753155</v>
      </c>
      <c r="W64" s="50">
        <f t="shared" si="7"/>
        <v>102.89079222489019</v>
      </c>
    </row>
    <row r="65" spans="7:23" x14ac:dyDescent="0.25">
      <c r="G65" s="6"/>
      <c r="H65">
        <v>14</v>
      </c>
      <c r="L65">
        <v>399.93</v>
      </c>
      <c r="O65">
        <v>4.7111999999999998</v>
      </c>
      <c r="P65">
        <v>34.739899999999999</v>
      </c>
      <c r="Q65" s="5">
        <v>14.956796904275491</v>
      </c>
      <c r="R65" s="15">
        <f t="shared" si="0"/>
        <v>277.8612</v>
      </c>
      <c r="S65">
        <f t="shared" si="5"/>
        <v>336.66</v>
      </c>
      <c r="T65">
        <f t="shared" si="6"/>
        <v>1</v>
      </c>
      <c r="U65" s="4">
        <f t="shared" si="3"/>
        <v>3.9540044783667259E-2</v>
      </c>
      <c r="V65" s="5">
        <f t="shared" si="4"/>
        <v>13.31155147686942</v>
      </c>
      <c r="W65" s="50">
        <f t="shared" si="7"/>
        <v>112.35953172148942</v>
      </c>
    </row>
    <row r="66" spans="7:23" x14ac:dyDescent="0.25">
      <c r="G66" s="6"/>
      <c r="H66">
        <v>14</v>
      </c>
      <c r="L66">
        <v>5.94</v>
      </c>
      <c r="O66">
        <v>2.3675000000000002</v>
      </c>
      <c r="P66">
        <v>28.245999999999999</v>
      </c>
      <c r="Q66" s="5">
        <v>16.263296125064649</v>
      </c>
      <c r="R66" s="15">
        <f t="shared" si="0"/>
        <v>275.51749999999998</v>
      </c>
      <c r="S66">
        <f t="shared" si="5"/>
        <v>336.66</v>
      </c>
      <c r="T66">
        <f t="shared" si="6"/>
        <v>1</v>
      </c>
      <c r="U66" s="4">
        <f t="shared" si="3"/>
        <v>4.5000257583856874E-2</v>
      </c>
      <c r="V66" s="5">
        <f t="shared" si="4"/>
        <v>15.149786718181257</v>
      </c>
      <c r="W66" s="50">
        <f t="shared" si="7"/>
        <v>107.35000054850323</v>
      </c>
    </row>
    <row r="67" spans="7:23" x14ac:dyDescent="0.25">
      <c r="G67" s="6"/>
      <c r="H67">
        <v>14</v>
      </c>
      <c r="I67" s="44"/>
      <c r="J67" s="44"/>
      <c r="L67">
        <v>6.06</v>
      </c>
      <c r="O67">
        <v>2.3946999999999998</v>
      </c>
      <c r="P67">
        <v>28.221599999999999</v>
      </c>
      <c r="Q67" s="5">
        <v>16.841413785372062</v>
      </c>
      <c r="R67" s="15">
        <f t="shared" si="0"/>
        <v>275.54469999999998</v>
      </c>
      <c r="S67">
        <f t="shared" si="5"/>
        <v>336.66</v>
      </c>
      <c r="T67">
        <f t="shared" si="6"/>
        <v>1</v>
      </c>
      <c r="U67" s="4"/>
      <c r="V67" s="5"/>
      <c r="W67" s="50"/>
    </row>
    <row r="68" spans="7:23" x14ac:dyDescent="0.25">
      <c r="G68" s="6"/>
      <c r="H68">
        <v>19</v>
      </c>
      <c r="I68" s="44"/>
      <c r="J68" s="44"/>
      <c r="L68">
        <v>100.01</v>
      </c>
      <c r="O68">
        <v>0.38059999999999999</v>
      </c>
      <c r="P68">
        <v>32.930700000000002</v>
      </c>
      <c r="Q68" s="5">
        <v>16.192443518677301</v>
      </c>
      <c r="R68" s="15">
        <f t="shared" si="0"/>
        <v>273.53059999999999</v>
      </c>
      <c r="S68">
        <f t="shared" si="5"/>
        <v>336.66</v>
      </c>
      <c r="T68">
        <f t="shared" si="6"/>
        <v>1</v>
      </c>
      <c r="U68" s="4">
        <f t="shared" si="3"/>
        <v>4.7406827300211063E-2</v>
      </c>
      <c r="V68" s="5">
        <f t="shared" si="4"/>
        <v>15.959982478889058</v>
      </c>
      <c r="W68" s="50">
        <f t="shared" si="7"/>
        <v>101.45652440468358</v>
      </c>
    </row>
    <row r="69" spans="7:23" x14ac:dyDescent="0.25">
      <c r="G69" s="6"/>
      <c r="H69">
        <v>19</v>
      </c>
      <c r="I69" s="44"/>
      <c r="J69" s="44"/>
      <c r="L69">
        <v>19.95</v>
      </c>
      <c r="O69">
        <v>2.6818</v>
      </c>
      <c r="P69">
        <v>31.420400000000001</v>
      </c>
      <c r="Q69" s="5">
        <v>15.647435898627679</v>
      </c>
      <c r="R69" s="15">
        <f t="shared" si="0"/>
        <v>275.83179999999999</v>
      </c>
      <c r="S69">
        <f t="shared" si="5"/>
        <v>336.66</v>
      </c>
      <c r="T69">
        <f t="shared" si="6"/>
        <v>1</v>
      </c>
      <c r="U69" s="4">
        <f t="shared" si="3"/>
        <v>4.3617710277565447E-2</v>
      </c>
      <c r="V69" s="5">
        <f t="shared" si="4"/>
        <v>14.684338342045184</v>
      </c>
      <c r="W69" s="50">
        <f t="shared" si="7"/>
        <v>106.55867179132539</v>
      </c>
    </row>
    <row r="70" spans="7:23" x14ac:dyDescent="0.25">
      <c r="G70" s="6"/>
      <c r="H70">
        <v>19</v>
      </c>
      <c r="I70" s="44"/>
      <c r="J70" s="44"/>
      <c r="L70">
        <v>199.88</v>
      </c>
      <c r="O70">
        <v>3.4060999999999999</v>
      </c>
      <c r="P70">
        <v>34.212200000000003</v>
      </c>
      <c r="Q70" s="5">
        <v>14.814885364682334</v>
      </c>
      <c r="R70" s="15">
        <f t="shared" si="0"/>
        <v>276.55609999999996</v>
      </c>
      <c r="S70">
        <f t="shared" si="5"/>
        <v>336.66</v>
      </c>
      <c r="T70">
        <f t="shared" si="6"/>
        <v>1</v>
      </c>
      <c r="U70" s="4">
        <f t="shared" si="3"/>
        <v>4.170686404038066E-2</v>
      </c>
      <c r="V70" s="5">
        <f t="shared" si="4"/>
        <v>14.041032847834554</v>
      </c>
      <c r="W70" s="50">
        <f t="shared" si="7"/>
        <v>105.51136462135067</v>
      </c>
    </row>
    <row r="71" spans="7:23" x14ac:dyDescent="0.25">
      <c r="G71" s="6"/>
      <c r="H71">
        <v>19</v>
      </c>
      <c r="I71" s="44"/>
      <c r="J71" s="44"/>
      <c r="L71">
        <v>2.95</v>
      </c>
      <c r="O71">
        <v>3.6793</v>
      </c>
      <c r="P71">
        <v>28.968599999999999</v>
      </c>
      <c r="Q71" s="5">
        <v>15.522480479461207</v>
      </c>
      <c r="R71" s="15">
        <f t="shared" ref="R71:R110" si="8">273.15+O71</f>
        <v>276.82929999999999</v>
      </c>
      <c r="S71">
        <f t="shared" si="5"/>
        <v>336.66</v>
      </c>
      <c r="T71">
        <f t="shared" si="6"/>
        <v>1</v>
      </c>
      <c r="U71" s="4">
        <f t="shared" si="3"/>
        <v>4.2552421561078732E-2</v>
      </c>
      <c r="V71" s="5">
        <f t="shared" si="4"/>
        <v>14.325698242752766</v>
      </c>
      <c r="W71" s="50">
        <f t="shared" si="7"/>
        <v>108.35409357665257</v>
      </c>
    </row>
    <row r="72" spans="7:23" x14ac:dyDescent="0.25">
      <c r="G72" s="6"/>
      <c r="H72">
        <v>19</v>
      </c>
      <c r="I72" s="44"/>
      <c r="J72" s="44"/>
      <c r="L72">
        <v>3.05</v>
      </c>
      <c r="O72">
        <v>3.5428999999999999</v>
      </c>
      <c r="P72">
        <v>28.9161</v>
      </c>
      <c r="Q72" s="5">
        <v>15.051476366970805</v>
      </c>
      <c r="R72" s="15">
        <f t="shared" si="8"/>
        <v>276.69289999999995</v>
      </c>
      <c r="S72">
        <f t="shared" si="5"/>
        <v>336.66</v>
      </c>
      <c r="T72">
        <f t="shared" si="6"/>
        <v>1</v>
      </c>
      <c r="U72" s="4">
        <f t="shared" ref="U72:U110" si="9">EXP($C$12+($C$13*(100/R72))+($C$14*LN(R72/100))+($C$15*(R72/100)^2)+(P72*($C$16+($C$17*(R72/100))+($C$18*(R72/100)^2))))</f>
        <v>4.2792762891398557E-2</v>
      </c>
      <c r="V72" s="5">
        <f t="shared" ref="V72:V110" si="10">S72*T72*U72</f>
        <v>14.406611555018239</v>
      </c>
      <c r="W72" s="50">
        <f t="shared" ref="W72:W110" si="11">(Q72/V72)*100</f>
        <v>104.47617268980881</v>
      </c>
    </row>
    <row r="73" spans="7:23" x14ac:dyDescent="0.25">
      <c r="G73" s="6"/>
      <c r="H73">
        <v>19</v>
      </c>
      <c r="I73" s="44"/>
      <c r="J73" s="44"/>
      <c r="L73">
        <v>400.04</v>
      </c>
      <c r="O73">
        <v>3.8092000000000001</v>
      </c>
      <c r="P73">
        <v>34.494700000000002</v>
      </c>
      <c r="Q73" s="5">
        <v>14.872455380135825</v>
      </c>
      <c r="R73" s="15">
        <f t="shared" si="8"/>
        <v>276.95919999999995</v>
      </c>
      <c r="S73">
        <f t="shared" ref="S73:S110" si="12">S72</f>
        <v>336.66</v>
      </c>
      <c r="T73">
        <f t="shared" ref="T73:T110" si="13">T72</f>
        <v>1</v>
      </c>
      <c r="U73" s="4">
        <f t="shared" si="9"/>
        <v>4.0992084986310642E-2</v>
      </c>
      <c r="V73" s="5">
        <f t="shared" si="10"/>
        <v>13.800395331491341</v>
      </c>
      <c r="W73" s="50">
        <f t="shared" si="11"/>
        <v>107.76832853619878</v>
      </c>
    </row>
    <row r="74" spans="7:23" x14ac:dyDescent="0.25">
      <c r="G74" s="6"/>
      <c r="H74">
        <v>22</v>
      </c>
      <c r="L74">
        <v>99.92</v>
      </c>
      <c r="O74">
        <v>0.43090000000000001</v>
      </c>
      <c r="P74">
        <v>32.6691</v>
      </c>
      <c r="Q74" s="5">
        <v>16.380034765233532</v>
      </c>
      <c r="R74" s="15">
        <f t="shared" si="8"/>
        <v>273.58089999999999</v>
      </c>
      <c r="S74">
        <f t="shared" si="12"/>
        <v>336.66</v>
      </c>
      <c r="T74">
        <f t="shared" si="13"/>
        <v>1</v>
      </c>
      <c r="U74" s="4">
        <f t="shared" si="9"/>
        <v>4.7384198032279432E-2</v>
      </c>
      <c r="V74" s="5">
        <f t="shared" si="10"/>
        <v>15.952364109547194</v>
      </c>
      <c r="W74" s="50">
        <f t="shared" si="11"/>
        <v>102.68092335875399</v>
      </c>
    </row>
    <row r="75" spans="7:23" x14ac:dyDescent="0.25">
      <c r="G75" s="6"/>
      <c r="H75">
        <v>22</v>
      </c>
      <c r="L75">
        <v>149.97</v>
      </c>
      <c r="O75">
        <v>1.6833</v>
      </c>
      <c r="P75">
        <v>33.654600000000002</v>
      </c>
      <c r="Q75" s="5">
        <v>14.991780144073623</v>
      </c>
      <c r="R75" s="15">
        <f t="shared" si="8"/>
        <v>274.83329999999995</v>
      </c>
      <c r="S75">
        <f t="shared" si="12"/>
        <v>336.66</v>
      </c>
      <c r="T75">
        <f t="shared" si="13"/>
        <v>1</v>
      </c>
      <c r="U75" s="4">
        <f t="shared" si="9"/>
        <v>4.4784804291309745E-2</v>
      </c>
      <c r="V75" s="5">
        <f t="shared" si="10"/>
        <v>15.07725221271234</v>
      </c>
      <c r="W75" s="50">
        <f t="shared" si="11"/>
        <v>99.433105797841264</v>
      </c>
    </row>
    <row r="76" spans="7:23" x14ac:dyDescent="0.25">
      <c r="G76" s="6"/>
      <c r="H76">
        <v>22</v>
      </c>
      <c r="L76">
        <v>219.95</v>
      </c>
      <c r="O76">
        <v>2.9493</v>
      </c>
      <c r="P76">
        <v>34.174999999999997</v>
      </c>
      <c r="Q76" s="5">
        <v>14.594545329764125</v>
      </c>
      <c r="R76" s="15">
        <f t="shared" si="8"/>
        <v>276.09929999999997</v>
      </c>
      <c r="S76">
        <f t="shared" si="12"/>
        <v>336.66</v>
      </c>
      <c r="T76">
        <f t="shared" si="13"/>
        <v>1</v>
      </c>
      <c r="U76" s="4">
        <f t="shared" si="9"/>
        <v>4.2466518790923155E-2</v>
      </c>
      <c r="V76" s="5">
        <f t="shared" si="10"/>
        <v>14.296778216152191</v>
      </c>
      <c r="W76" s="50">
        <f t="shared" si="11"/>
        <v>102.08275675197594</v>
      </c>
    </row>
    <row r="77" spans="7:23" x14ac:dyDescent="0.25">
      <c r="G77" s="6"/>
      <c r="H77">
        <v>22</v>
      </c>
      <c r="L77">
        <v>220.05</v>
      </c>
      <c r="O77">
        <v>2.9508000000000001</v>
      </c>
      <c r="P77">
        <v>34.174500000000002</v>
      </c>
      <c r="Q77" s="5">
        <v>13.46854144328641</v>
      </c>
      <c r="R77" s="15">
        <f t="shared" si="8"/>
        <v>276.10079999999999</v>
      </c>
      <c r="S77">
        <f t="shared" si="12"/>
        <v>336.66</v>
      </c>
      <c r="T77">
        <f t="shared" si="13"/>
        <v>1</v>
      </c>
      <c r="U77" s="4">
        <f t="shared" si="9"/>
        <v>4.2464148799760168E-2</v>
      </c>
      <c r="V77" s="5">
        <f t="shared" si="10"/>
        <v>14.295980334927259</v>
      </c>
      <c r="W77" s="50">
        <f t="shared" si="11"/>
        <v>94.212087088429399</v>
      </c>
    </row>
    <row r="78" spans="7:23" x14ac:dyDescent="0.25">
      <c r="G78" s="6"/>
      <c r="H78">
        <v>22</v>
      </c>
      <c r="L78">
        <v>3</v>
      </c>
      <c r="O78">
        <v>6.9789000000000003</v>
      </c>
      <c r="P78">
        <v>28.6554</v>
      </c>
      <c r="Q78" s="5">
        <v>16.034571002234731</v>
      </c>
      <c r="R78" s="15">
        <f t="shared" si="8"/>
        <v>280.12889999999999</v>
      </c>
      <c r="S78">
        <f t="shared" si="12"/>
        <v>336.66</v>
      </c>
      <c r="T78">
        <f t="shared" si="13"/>
        <v>1</v>
      </c>
      <c r="U78" s="4">
        <f t="shared" si="9"/>
        <v>3.7595612838512586E-2</v>
      </c>
      <c r="V78" s="5">
        <f t="shared" si="10"/>
        <v>12.656939018213649</v>
      </c>
      <c r="W78" s="50">
        <f t="shared" si="11"/>
        <v>126.68600977819824</v>
      </c>
    </row>
    <row r="79" spans="7:23" x14ac:dyDescent="0.25">
      <c r="G79" s="6"/>
      <c r="H79">
        <v>22</v>
      </c>
      <c r="L79">
        <v>29.94</v>
      </c>
      <c r="O79">
        <v>2.3069999999999999</v>
      </c>
      <c r="P79">
        <v>31.3552</v>
      </c>
      <c r="Q79" s="5">
        <v>14.234718866586821</v>
      </c>
      <c r="R79" s="15">
        <f t="shared" si="8"/>
        <v>275.45699999999999</v>
      </c>
      <c r="S79">
        <f t="shared" si="12"/>
        <v>336.66</v>
      </c>
      <c r="T79">
        <f t="shared" si="13"/>
        <v>1</v>
      </c>
      <c r="U79" s="4">
        <f t="shared" si="9"/>
        <v>4.4286488718293632E-2</v>
      </c>
      <c r="V79" s="5">
        <f t="shared" si="10"/>
        <v>14.909489291900735</v>
      </c>
      <c r="W79" s="50">
        <f t="shared" si="11"/>
        <v>95.474221738229019</v>
      </c>
    </row>
    <row r="80" spans="7:23" x14ac:dyDescent="0.25">
      <c r="G80" s="6"/>
      <c r="H80">
        <v>23</v>
      </c>
      <c r="L80">
        <v>150.03</v>
      </c>
      <c r="O80">
        <v>6.5000000000000002E-2</v>
      </c>
      <c r="P80">
        <v>33.055500000000002</v>
      </c>
      <c r="Q80"/>
      <c r="R80" s="15">
        <f t="shared" si="8"/>
        <v>273.21499999999997</v>
      </c>
      <c r="S80">
        <f t="shared" si="12"/>
        <v>336.66</v>
      </c>
      <c r="T80">
        <f t="shared" si="13"/>
        <v>1</v>
      </c>
      <c r="U80" s="4">
        <f t="shared" si="9"/>
        <v>4.7986111790032954E-2</v>
      </c>
      <c r="V80" s="5">
        <f t="shared" si="10"/>
        <v>16.155004395232496</v>
      </c>
      <c r="W80" s="50"/>
    </row>
    <row r="81" spans="7:23" x14ac:dyDescent="0.25">
      <c r="G81" s="6"/>
      <c r="H81">
        <v>23</v>
      </c>
      <c r="I81" s="44"/>
      <c r="J81" s="44"/>
      <c r="L81">
        <v>249.97</v>
      </c>
      <c r="O81">
        <v>0.1057</v>
      </c>
      <c r="P81">
        <v>33.162399999999998</v>
      </c>
      <c r="Q81" s="5">
        <v>16.772906921392838</v>
      </c>
      <c r="R81" s="15">
        <f t="shared" si="8"/>
        <v>273.25569999999999</v>
      </c>
      <c r="S81">
        <f t="shared" si="12"/>
        <v>336.66</v>
      </c>
      <c r="T81">
        <f t="shared" si="13"/>
        <v>1</v>
      </c>
      <c r="U81" s="4">
        <f t="shared" si="9"/>
        <v>4.7875348860250598E-2</v>
      </c>
      <c r="V81" s="5">
        <f t="shared" si="10"/>
        <v>16.117714947291969</v>
      </c>
      <c r="W81" s="50">
        <f t="shared" si="11"/>
        <v>104.06504257113043</v>
      </c>
    </row>
    <row r="82" spans="7:23" x14ac:dyDescent="0.25">
      <c r="G82" s="6"/>
      <c r="H82">
        <v>23</v>
      </c>
      <c r="I82" s="44"/>
      <c r="J82" s="44"/>
      <c r="L82">
        <v>2.99</v>
      </c>
      <c r="O82">
        <v>9.0694999999999997</v>
      </c>
      <c r="P82">
        <v>23.412600000000001</v>
      </c>
      <c r="Q82" s="5">
        <v>12.541251263449857</v>
      </c>
      <c r="R82" s="15">
        <f t="shared" si="8"/>
        <v>282.21949999999998</v>
      </c>
      <c r="S82">
        <f t="shared" si="12"/>
        <v>336.66</v>
      </c>
      <c r="T82">
        <f t="shared" si="13"/>
        <v>1</v>
      </c>
      <c r="U82" s="4">
        <f t="shared" si="9"/>
        <v>3.5861639983498339E-2</v>
      </c>
      <c r="V82" s="5">
        <f t="shared" si="10"/>
        <v>12.073179716844551</v>
      </c>
      <c r="W82" s="50">
        <f t="shared" si="11"/>
        <v>103.87695335928984</v>
      </c>
    </row>
    <row r="83" spans="7:23" x14ac:dyDescent="0.25">
      <c r="G83" s="6"/>
      <c r="H83">
        <v>23</v>
      </c>
      <c r="I83" s="44"/>
      <c r="J83" s="44"/>
      <c r="L83">
        <v>349.98</v>
      </c>
      <c r="O83">
        <v>0.1305</v>
      </c>
      <c r="P83">
        <v>33.183</v>
      </c>
      <c r="Q83" s="5">
        <v>16.347147947162533</v>
      </c>
      <c r="R83" s="15">
        <f t="shared" si="8"/>
        <v>273.28049999999996</v>
      </c>
      <c r="S83">
        <f t="shared" si="12"/>
        <v>336.66</v>
      </c>
      <c r="T83">
        <f t="shared" si="13"/>
        <v>1</v>
      </c>
      <c r="U83" s="4">
        <f t="shared" si="9"/>
        <v>4.7820850604129363E-2</v>
      </c>
      <c r="V83" s="5">
        <f t="shared" si="10"/>
        <v>16.099367564386192</v>
      </c>
      <c r="W83" s="50">
        <f t="shared" si="11"/>
        <v>101.53906904594476</v>
      </c>
    </row>
    <row r="84" spans="7:23" x14ac:dyDescent="0.25">
      <c r="G84" s="6"/>
      <c r="H84">
        <v>23</v>
      </c>
      <c r="I84" s="44"/>
      <c r="J84" s="44"/>
      <c r="L84">
        <v>39.99</v>
      </c>
      <c r="O84">
        <v>1.7413000000000001</v>
      </c>
      <c r="P84">
        <v>32.106699999999996</v>
      </c>
      <c r="Q84" s="5">
        <v>15.596412100628362</v>
      </c>
      <c r="R84" s="15">
        <f t="shared" si="8"/>
        <v>274.8913</v>
      </c>
      <c r="S84">
        <f t="shared" si="12"/>
        <v>336.66</v>
      </c>
      <c r="T84">
        <f t="shared" si="13"/>
        <v>1</v>
      </c>
      <c r="U84" s="4">
        <f t="shared" si="9"/>
        <v>4.5094295628483147E-2</v>
      </c>
      <c r="V84" s="5">
        <f t="shared" si="10"/>
        <v>15.181445566285138</v>
      </c>
      <c r="W84" s="50">
        <f t="shared" si="11"/>
        <v>102.73337958846804</v>
      </c>
    </row>
    <row r="85" spans="7:23" x14ac:dyDescent="0.25">
      <c r="G85" s="6"/>
      <c r="H85">
        <v>23</v>
      </c>
      <c r="I85" s="44"/>
      <c r="J85" s="44"/>
      <c r="L85">
        <v>6.06</v>
      </c>
      <c r="O85">
        <v>6.1154000000000002</v>
      </c>
      <c r="P85">
        <v>29.5168</v>
      </c>
      <c r="Q85" s="5">
        <v>14.316755254466939</v>
      </c>
      <c r="R85" s="15">
        <f t="shared" si="8"/>
        <v>279.2654</v>
      </c>
      <c r="S85">
        <f t="shared" si="12"/>
        <v>336.66</v>
      </c>
      <c r="T85">
        <f t="shared" si="13"/>
        <v>1</v>
      </c>
      <c r="U85" s="4">
        <f t="shared" si="9"/>
        <v>3.8638892275195326E-2</v>
      </c>
      <c r="V85" s="5">
        <f t="shared" si="10"/>
        <v>13.008169473367259</v>
      </c>
      <c r="W85" s="50">
        <f t="shared" si="11"/>
        <v>110.05972272869646</v>
      </c>
    </row>
    <row r="86" spans="7:23" x14ac:dyDescent="0.25">
      <c r="G86" s="6"/>
      <c r="H86">
        <v>23</v>
      </c>
      <c r="I86" s="44"/>
      <c r="J86" s="44"/>
      <c r="L86">
        <v>80.02</v>
      </c>
      <c r="O86">
        <v>0.78069999999999995</v>
      </c>
      <c r="P86">
        <v>32.6477</v>
      </c>
      <c r="Q86" s="5">
        <v>16.166773348044693</v>
      </c>
      <c r="R86" s="15">
        <f t="shared" si="8"/>
        <v>273.9307</v>
      </c>
      <c r="S86">
        <f t="shared" si="12"/>
        <v>336.66</v>
      </c>
      <c r="T86">
        <f t="shared" si="13"/>
        <v>1</v>
      </c>
      <c r="U86" s="4">
        <f t="shared" si="9"/>
        <v>4.6721275449840262E-2</v>
      </c>
      <c r="V86" s="5">
        <f t="shared" si="10"/>
        <v>15.729184592943223</v>
      </c>
      <c r="W86" s="50">
        <f t="shared" si="11"/>
        <v>102.78201805386524</v>
      </c>
    </row>
    <row r="87" spans="7:23" x14ac:dyDescent="0.25">
      <c r="G87" s="6"/>
      <c r="H87">
        <v>26</v>
      </c>
      <c r="I87" s="44"/>
      <c r="J87" s="44"/>
      <c r="L87">
        <v>0.98</v>
      </c>
      <c r="O87">
        <v>8.5424000000000007</v>
      </c>
      <c r="P87">
        <v>16.535</v>
      </c>
      <c r="Q87" s="5">
        <v>13.266841672631038</v>
      </c>
      <c r="R87" s="15">
        <f t="shared" si="8"/>
        <v>281.69239999999996</v>
      </c>
      <c r="S87">
        <f t="shared" si="12"/>
        <v>336.66</v>
      </c>
      <c r="T87">
        <f t="shared" si="13"/>
        <v>1</v>
      </c>
      <c r="U87" s="4">
        <f t="shared" si="9"/>
        <v>3.8000879873415799E-2</v>
      </c>
      <c r="V87" s="5">
        <f t="shared" si="10"/>
        <v>12.793376218184164</v>
      </c>
      <c r="W87" s="50">
        <f t="shared" si="11"/>
        <v>103.70086399690102</v>
      </c>
    </row>
    <row r="88" spans="7:23" x14ac:dyDescent="0.25">
      <c r="G88" s="6"/>
      <c r="H88">
        <v>26</v>
      </c>
      <c r="I88" s="44"/>
      <c r="J88" s="44"/>
      <c r="L88">
        <v>9.94</v>
      </c>
      <c r="O88">
        <v>4.8295000000000003</v>
      </c>
      <c r="P88">
        <v>30.446300000000001</v>
      </c>
      <c r="Q88" s="5">
        <v>16.145736635783134</v>
      </c>
      <c r="R88" s="15">
        <f t="shared" si="8"/>
        <v>277.97949999999997</v>
      </c>
      <c r="S88">
        <f t="shared" si="12"/>
        <v>336.66</v>
      </c>
      <c r="T88">
        <f t="shared" si="13"/>
        <v>1</v>
      </c>
      <c r="U88" s="4">
        <f t="shared" si="9"/>
        <v>4.0354070880320649E-2</v>
      </c>
      <c r="V88" s="5">
        <f t="shared" si="10"/>
        <v>13.58560150256875</v>
      </c>
      <c r="W88" s="50">
        <f t="shared" si="11"/>
        <v>118.84447392874226</v>
      </c>
    </row>
    <row r="89" spans="7:23" x14ac:dyDescent="0.25">
      <c r="G89" s="6"/>
      <c r="H89">
        <v>26</v>
      </c>
      <c r="I89" s="44"/>
      <c r="J89" s="44"/>
      <c r="L89">
        <v>100.03</v>
      </c>
      <c r="O89">
        <v>0.37859999999999999</v>
      </c>
      <c r="P89">
        <v>32.808199999999999</v>
      </c>
      <c r="Q89" s="5">
        <v>16.801453673200509</v>
      </c>
      <c r="R89" s="15">
        <f t="shared" si="8"/>
        <v>273.52859999999998</v>
      </c>
      <c r="S89">
        <f t="shared" si="12"/>
        <v>336.66</v>
      </c>
      <c r="T89">
        <f t="shared" si="13"/>
        <v>1</v>
      </c>
      <c r="U89" s="4">
        <f t="shared" si="9"/>
        <v>4.7445632490008723E-2</v>
      </c>
      <c r="V89" s="5">
        <f t="shared" si="10"/>
        <v>15.973046634086337</v>
      </c>
      <c r="W89" s="50">
        <f t="shared" si="11"/>
        <v>105.1862807270991</v>
      </c>
    </row>
    <row r="90" spans="7:23" x14ac:dyDescent="0.25">
      <c r="G90" s="6"/>
      <c r="H90">
        <v>26</v>
      </c>
      <c r="I90" s="44"/>
      <c r="J90" s="44"/>
      <c r="L90">
        <v>20.05</v>
      </c>
      <c r="O90">
        <v>3.2538999999999998</v>
      </c>
      <c r="P90">
        <v>31.492599999999999</v>
      </c>
      <c r="Q90" s="5">
        <v>16.187144868246648</v>
      </c>
      <c r="R90" s="15">
        <f t="shared" si="8"/>
        <v>276.40389999999996</v>
      </c>
      <c r="S90">
        <f t="shared" si="12"/>
        <v>336.66</v>
      </c>
      <c r="T90">
        <f t="shared" si="13"/>
        <v>1</v>
      </c>
      <c r="U90" s="4">
        <f t="shared" si="9"/>
        <v>4.2630091634470978E-2</v>
      </c>
      <c r="V90" s="5">
        <f t="shared" si="10"/>
        <v>14.351846649661001</v>
      </c>
      <c r="W90" s="50">
        <f t="shared" si="11"/>
        <v>112.7878889970511</v>
      </c>
    </row>
    <row r="91" spans="7:23" x14ac:dyDescent="0.25">
      <c r="G91" s="6"/>
      <c r="H91">
        <v>26</v>
      </c>
      <c r="I91" s="44"/>
      <c r="J91" s="44"/>
      <c r="L91">
        <v>219.96</v>
      </c>
      <c r="O91">
        <v>9.1700000000000004E-2</v>
      </c>
      <c r="P91">
        <v>33.131999999999998</v>
      </c>
      <c r="Q91" s="5">
        <v>16.83000106305763</v>
      </c>
      <c r="R91" s="15">
        <f t="shared" si="8"/>
        <v>273.24169999999998</v>
      </c>
      <c r="S91">
        <f t="shared" si="12"/>
        <v>336.66</v>
      </c>
      <c r="T91">
        <f t="shared" si="13"/>
        <v>1</v>
      </c>
      <c r="U91" s="4">
        <f t="shared" si="9"/>
        <v>4.7911571947965831E-2</v>
      </c>
      <c r="V91" s="5">
        <f t="shared" si="10"/>
        <v>16.129909812002179</v>
      </c>
      <c r="W91" s="50">
        <f t="shared" si="11"/>
        <v>104.34032960639692</v>
      </c>
    </row>
    <row r="92" spans="7:23" x14ac:dyDescent="0.25">
      <c r="G92" s="6"/>
      <c r="H92">
        <v>26</v>
      </c>
      <c r="L92">
        <v>40.07</v>
      </c>
      <c r="O92">
        <v>1.9076</v>
      </c>
      <c r="P92">
        <v>32.168500000000002</v>
      </c>
      <c r="Q92" s="5">
        <v>15.86160256711725</v>
      </c>
      <c r="R92" s="15">
        <f t="shared" si="8"/>
        <v>275.05759999999998</v>
      </c>
      <c r="S92">
        <f t="shared" si="12"/>
        <v>336.66</v>
      </c>
      <c r="T92">
        <f t="shared" si="13"/>
        <v>1</v>
      </c>
      <c r="U92" s="4">
        <f t="shared" si="9"/>
        <v>4.477938972196234E-2</v>
      </c>
      <c r="V92" s="5">
        <f t="shared" si="10"/>
        <v>15.075429343795843</v>
      </c>
      <c r="W92" s="50">
        <f t="shared" si="11"/>
        <v>105.21493090108874</v>
      </c>
    </row>
    <row r="93" spans="7:23" x14ac:dyDescent="0.25">
      <c r="G93" s="6"/>
      <c r="H93">
        <v>26</v>
      </c>
      <c r="L93">
        <v>5.95</v>
      </c>
      <c r="O93">
        <v>5.1921999999999997</v>
      </c>
      <c r="P93">
        <v>29.606300000000001</v>
      </c>
      <c r="Q93" s="5">
        <v>15.303315522562988</v>
      </c>
      <c r="R93" s="15">
        <f t="shared" si="8"/>
        <v>278.34219999999999</v>
      </c>
      <c r="S93">
        <f t="shared" si="12"/>
        <v>336.66</v>
      </c>
      <c r="T93">
        <f t="shared" si="13"/>
        <v>1</v>
      </c>
      <c r="U93" s="4">
        <f t="shared" si="9"/>
        <v>3.9992829392397247E-2</v>
      </c>
      <c r="V93" s="5">
        <f t="shared" si="10"/>
        <v>13.463985943244458</v>
      </c>
      <c r="W93" s="50">
        <f t="shared" si="11"/>
        <v>113.66110739473412</v>
      </c>
    </row>
    <row r="94" spans="7:23" x14ac:dyDescent="0.25">
      <c r="G94" s="6"/>
      <c r="H94">
        <v>29</v>
      </c>
      <c r="L94">
        <v>0.95</v>
      </c>
      <c r="O94">
        <v>5.4131999999999998</v>
      </c>
      <c r="P94">
        <v>19.916399999999999</v>
      </c>
      <c r="Q94" s="5">
        <v>15.29980654656689</v>
      </c>
      <c r="R94" s="15">
        <f t="shared" si="8"/>
        <v>278.56319999999999</v>
      </c>
      <c r="S94">
        <f t="shared" si="12"/>
        <v>336.66</v>
      </c>
      <c r="T94">
        <f t="shared" si="13"/>
        <v>1</v>
      </c>
      <c r="U94" s="4">
        <f t="shared" si="9"/>
        <v>4.1938008626652909E-2</v>
      </c>
      <c r="V94" s="5">
        <f t="shared" si="10"/>
        <v>14.118849984248969</v>
      </c>
      <c r="W94" s="50">
        <f t="shared" si="11"/>
        <v>108.36439627615138</v>
      </c>
    </row>
    <row r="95" spans="7:23" x14ac:dyDescent="0.25">
      <c r="G95" s="6"/>
      <c r="H95">
        <v>29</v>
      </c>
      <c r="L95">
        <v>100.04</v>
      </c>
      <c r="O95">
        <v>0.315</v>
      </c>
      <c r="P95">
        <v>32.8767</v>
      </c>
      <c r="Q95" s="5">
        <v>16.66506770373989</v>
      </c>
      <c r="R95" s="15">
        <f t="shared" si="8"/>
        <v>273.46499999999997</v>
      </c>
      <c r="S95">
        <f t="shared" si="12"/>
        <v>336.66</v>
      </c>
      <c r="T95">
        <f t="shared" si="13"/>
        <v>1</v>
      </c>
      <c r="U95" s="4">
        <f t="shared" si="9"/>
        <v>4.7549297414550759E-2</v>
      </c>
      <c r="V95" s="5">
        <f t="shared" si="10"/>
        <v>16.007946467582659</v>
      </c>
      <c r="W95" s="50">
        <f t="shared" si="11"/>
        <v>104.10496897580181</v>
      </c>
    </row>
    <row r="96" spans="7:23" x14ac:dyDescent="0.25">
      <c r="G96" s="6"/>
      <c r="H96">
        <v>29</v>
      </c>
      <c r="L96">
        <v>19.97</v>
      </c>
      <c r="O96">
        <v>3.258</v>
      </c>
      <c r="P96">
        <v>31.392299999999999</v>
      </c>
      <c r="Q96"/>
      <c r="R96" s="15">
        <f t="shared" si="8"/>
        <v>276.40799999999996</v>
      </c>
      <c r="S96">
        <f t="shared" si="12"/>
        <v>336.66</v>
      </c>
      <c r="T96">
        <f t="shared" si="13"/>
        <v>1</v>
      </c>
      <c r="U96" s="4">
        <f t="shared" si="9"/>
        <v>4.2648360305650404E-2</v>
      </c>
      <c r="V96" s="5">
        <f t="shared" si="10"/>
        <v>14.357996980500266</v>
      </c>
      <c r="W96" s="50"/>
    </row>
    <row r="97" spans="7:23" x14ac:dyDescent="0.25">
      <c r="G97" s="6"/>
      <c r="H97">
        <v>29</v>
      </c>
      <c r="L97">
        <v>3.01</v>
      </c>
      <c r="O97">
        <v>5.359</v>
      </c>
      <c r="P97">
        <v>27.612200000000001</v>
      </c>
      <c r="Q97" s="5">
        <v>15.096567065095822</v>
      </c>
      <c r="R97" s="15">
        <f t="shared" si="8"/>
        <v>278.50899999999996</v>
      </c>
      <c r="S97">
        <f t="shared" si="12"/>
        <v>336.66</v>
      </c>
      <c r="T97">
        <f t="shared" si="13"/>
        <v>1</v>
      </c>
      <c r="U97" s="4">
        <f t="shared" si="9"/>
        <v>4.0199696122911258E-2</v>
      </c>
      <c r="V97" s="5">
        <f t="shared" si="10"/>
        <v>13.533629696739306</v>
      </c>
      <c r="W97" s="50">
        <f t="shared" si="11"/>
        <v>111.54854538936499</v>
      </c>
    </row>
    <row r="98" spans="7:23" x14ac:dyDescent="0.25">
      <c r="G98" s="6"/>
      <c r="H98">
        <v>29</v>
      </c>
      <c r="L98">
        <v>40.03</v>
      </c>
      <c r="O98">
        <v>2.1972</v>
      </c>
      <c r="P98">
        <v>32.037100000000002</v>
      </c>
      <c r="Q98" s="5">
        <v>16.245872134443207</v>
      </c>
      <c r="R98" s="15">
        <f t="shared" si="8"/>
        <v>275.34719999999999</v>
      </c>
      <c r="S98">
        <f t="shared" si="12"/>
        <v>336.66</v>
      </c>
      <c r="T98">
        <f t="shared" si="13"/>
        <v>1</v>
      </c>
      <c r="U98" s="4">
        <f t="shared" si="9"/>
        <v>4.4300759813840747E-2</v>
      </c>
      <c r="V98" s="5">
        <f t="shared" si="10"/>
        <v>14.914293798927627</v>
      </c>
      <c r="W98" s="50">
        <f t="shared" si="11"/>
        <v>108.92820239072482</v>
      </c>
    </row>
    <row r="99" spans="7:23" x14ac:dyDescent="0.25">
      <c r="G99" s="6"/>
      <c r="H99">
        <v>29</v>
      </c>
      <c r="I99" s="44"/>
      <c r="J99" s="44"/>
      <c r="L99">
        <v>69.97</v>
      </c>
      <c r="O99">
        <v>1.0638000000000001</v>
      </c>
      <c r="P99">
        <v>32.628700000000002</v>
      </c>
      <c r="Q99" s="5">
        <v>16.360198483348206</v>
      </c>
      <c r="R99" s="15">
        <f t="shared" si="8"/>
        <v>274.21379999999999</v>
      </c>
      <c r="S99">
        <f t="shared" si="12"/>
        <v>336.66</v>
      </c>
      <c r="T99">
        <f t="shared" si="13"/>
        <v>1</v>
      </c>
      <c r="U99" s="4">
        <f t="shared" si="9"/>
        <v>4.6194532100562576E-2</v>
      </c>
      <c r="V99" s="5">
        <f t="shared" si="10"/>
        <v>15.551851176975397</v>
      </c>
      <c r="W99" s="50">
        <f t="shared" si="11"/>
        <v>105.19775618461146</v>
      </c>
    </row>
    <row r="100" spans="7:23" x14ac:dyDescent="0.25">
      <c r="G100" s="6"/>
      <c r="H100">
        <v>31</v>
      </c>
      <c r="I100" s="44"/>
      <c r="J100" s="44"/>
      <c r="L100">
        <v>150.05000000000001</v>
      </c>
      <c r="O100">
        <v>1.8757999999999999</v>
      </c>
      <c r="P100">
        <v>33.728499999999997</v>
      </c>
      <c r="Q100"/>
      <c r="R100" s="15">
        <f t="shared" si="8"/>
        <v>275.0258</v>
      </c>
      <c r="S100">
        <f t="shared" si="12"/>
        <v>336.66</v>
      </c>
      <c r="T100">
        <f t="shared" si="13"/>
        <v>1</v>
      </c>
      <c r="U100" s="4">
        <f t="shared" si="9"/>
        <v>4.4422786314883937E-2</v>
      </c>
      <c r="V100" s="5">
        <f t="shared" si="10"/>
        <v>14.955375240768827</v>
      </c>
      <c r="W100" s="50"/>
    </row>
    <row r="101" spans="7:23" x14ac:dyDescent="0.25">
      <c r="G101" s="6"/>
      <c r="H101">
        <v>31</v>
      </c>
      <c r="I101" s="44"/>
      <c r="J101" s="44"/>
      <c r="L101">
        <v>2.99</v>
      </c>
      <c r="O101">
        <v>0.42930000000000001</v>
      </c>
      <c r="P101">
        <v>23.710100000000001</v>
      </c>
      <c r="Q101" s="5">
        <v>15.858607625569164</v>
      </c>
      <c r="R101" s="15">
        <f t="shared" si="8"/>
        <v>273.57929999999999</v>
      </c>
      <c r="S101">
        <f t="shared" si="12"/>
        <v>336.66</v>
      </c>
      <c r="T101">
        <f t="shared" si="13"/>
        <v>1</v>
      </c>
      <c r="U101" s="4">
        <f t="shared" si="9"/>
        <v>5.000923933009583E-2</v>
      </c>
      <c r="V101" s="5">
        <f t="shared" si="10"/>
        <v>16.836110512870064</v>
      </c>
      <c r="W101" s="50">
        <f t="shared" si="11"/>
        <v>94.194010032461676</v>
      </c>
    </row>
    <row r="102" spans="7:23" x14ac:dyDescent="0.25">
      <c r="G102" s="6"/>
      <c r="H102">
        <v>31</v>
      </c>
      <c r="I102" s="44"/>
      <c r="J102" s="44"/>
      <c r="L102">
        <v>299.95999999999998</v>
      </c>
      <c r="O102">
        <v>3.7538999999999998</v>
      </c>
      <c r="P102">
        <v>34.448500000000003</v>
      </c>
      <c r="Q102" s="5">
        <v>13.921555347797694</v>
      </c>
      <c r="R102" s="15">
        <f t="shared" si="8"/>
        <v>276.90389999999996</v>
      </c>
      <c r="S102">
        <f t="shared" si="12"/>
        <v>336.66</v>
      </c>
      <c r="T102">
        <f t="shared" si="13"/>
        <v>1</v>
      </c>
      <c r="U102" s="4">
        <f t="shared" si="9"/>
        <v>4.1090950500202915E-2</v>
      </c>
      <c r="V102" s="5">
        <f t="shared" si="10"/>
        <v>13.833679395398315</v>
      </c>
      <c r="W102" s="50">
        <f t="shared" si="11"/>
        <v>100.63523195736784</v>
      </c>
    </row>
    <row r="103" spans="7:23" x14ac:dyDescent="0.25">
      <c r="G103" s="6"/>
      <c r="H103">
        <v>31</v>
      </c>
      <c r="I103" s="44"/>
      <c r="J103" s="44"/>
      <c r="L103">
        <v>49.99</v>
      </c>
      <c r="O103">
        <v>1.0895999999999999</v>
      </c>
      <c r="P103">
        <v>32.0655</v>
      </c>
      <c r="Q103" s="5">
        <v>15.405949531696407</v>
      </c>
      <c r="R103" s="15">
        <f t="shared" si="8"/>
        <v>274.2396</v>
      </c>
      <c r="S103">
        <f t="shared" si="12"/>
        <v>336.66</v>
      </c>
      <c r="T103">
        <f t="shared" si="13"/>
        <v>1</v>
      </c>
      <c r="U103" s="4">
        <f t="shared" si="9"/>
        <v>4.6302077633115613E-2</v>
      </c>
      <c r="V103" s="5">
        <f t="shared" si="10"/>
        <v>15.588057455964703</v>
      </c>
      <c r="W103" s="50">
        <f t="shared" si="11"/>
        <v>98.831747157830677</v>
      </c>
    </row>
    <row r="104" spans="7:23" x14ac:dyDescent="0.25">
      <c r="G104" s="6"/>
      <c r="H104">
        <v>31</v>
      </c>
      <c r="I104" s="44"/>
      <c r="J104" s="44"/>
      <c r="L104">
        <v>5.94</v>
      </c>
      <c r="O104">
        <v>0.39660000000000001</v>
      </c>
      <c r="P104">
        <v>27.001999999999999</v>
      </c>
      <c r="Q104" s="5">
        <v>15.828745173237825</v>
      </c>
      <c r="R104" s="15">
        <f t="shared" si="8"/>
        <v>273.54659999999996</v>
      </c>
      <c r="S104">
        <f t="shared" si="12"/>
        <v>336.66</v>
      </c>
      <c r="T104">
        <f t="shared" si="13"/>
        <v>1</v>
      </c>
      <c r="U104" s="4">
        <f t="shared" si="9"/>
        <v>4.9095241895230436E-2</v>
      </c>
      <c r="V104" s="5">
        <f t="shared" si="10"/>
        <v>16.52840413644828</v>
      </c>
      <c r="W104" s="50">
        <f t="shared" si="11"/>
        <v>95.766929720289369</v>
      </c>
    </row>
    <row r="105" spans="7:23" x14ac:dyDescent="0.25">
      <c r="G105" s="6"/>
      <c r="H105">
        <v>31</v>
      </c>
      <c r="I105" s="44"/>
      <c r="J105" s="44"/>
      <c r="L105">
        <v>79.95</v>
      </c>
      <c r="O105">
        <v>0.10879999999999999</v>
      </c>
      <c r="P105">
        <v>32.504399999999997</v>
      </c>
      <c r="Q105" s="5">
        <v>15.374730380241999</v>
      </c>
      <c r="R105" s="15">
        <f t="shared" si="8"/>
        <v>273.25879999999995</v>
      </c>
      <c r="S105">
        <f t="shared" si="12"/>
        <v>336.66</v>
      </c>
      <c r="T105">
        <f t="shared" si="13"/>
        <v>1</v>
      </c>
      <c r="U105" s="4">
        <f t="shared" si="9"/>
        <v>4.805950680707239E-2</v>
      </c>
      <c r="V105" s="5">
        <f t="shared" si="10"/>
        <v>16.179713561668994</v>
      </c>
      <c r="W105" s="50">
        <f t="shared" si="11"/>
        <v>95.024737747310539</v>
      </c>
    </row>
    <row r="106" spans="7:23" x14ac:dyDescent="0.25">
      <c r="G106" s="6"/>
      <c r="H106">
        <v>33</v>
      </c>
      <c r="I106" s="44"/>
      <c r="J106" s="44"/>
      <c r="L106">
        <v>10</v>
      </c>
      <c r="O106">
        <v>0.42080000000000001</v>
      </c>
      <c r="P106">
        <v>28.584099999999999</v>
      </c>
      <c r="Q106" s="5">
        <v>14.936236776235358</v>
      </c>
      <c r="R106" s="15">
        <f t="shared" si="8"/>
        <v>273.57079999999996</v>
      </c>
      <c r="S106">
        <f t="shared" si="12"/>
        <v>336.66</v>
      </c>
      <c r="T106">
        <f t="shared" si="13"/>
        <v>1</v>
      </c>
      <c r="U106" s="4">
        <f t="shared" si="9"/>
        <v>4.8582223384840154E-2</v>
      </c>
      <c r="V106" s="5">
        <f t="shared" si="10"/>
        <v>16.355691324740288</v>
      </c>
      <c r="W106" s="50">
        <f t="shared" si="11"/>
        <v>91.321341786648873</v>
      </c>
    </row>
    <row r="107" spans="7:23" x14ac:dyDescent="0.25">
      <c r="G107" s="6"/>
      <c r="H107">
        <v>33</v>
      </c>
      <c r="I107" s="44"/>
      <c r="J107" s="44"/>
      <c r="L107">
        <v>110.01</v>
      </c>
      <c r="O107">
        <v>0.7137</v>
      </c>
      <c r="P107">
        <v>32.948599999999999</v>
      </c>
      <c r="Q107" s="5">
        <v>15.172986314877765</v>
      </c>
      <c r="R107" s="15">
        <f t="shared" si="8"/>
        <v>273.86369999999999</v>
      </c>
      <c r="S107">
        <f t="shared" si="12"/>
        <v>336.66</v>
      </c>
      <c r="T107">
        <f t="shared" si="13"/>
        <v>1</v>
      </c>
      <c r="U107" s="4">
        <f t="shared" si="9"/>
        <v>4.6763952454987365E-2</v>
      </c>
      <c r="V107" s="5">
        <f t="shared" si="10"/>
        <v>15.743552233496047</v>
      </c>
      <c r="W107" s="50">
        <f t="shared" si="11"/>
        <v>96.375875595570207</v>
      </c>
    </row>
    <row r="108" spans="7:23" x14ac:dyDescent="0.25">
      <c r="G108" s="6"/>
      <c r="H108">
        <v>33</v>
      </c>
      <c r="L108">
        <v>159.94999999999999</v>
      </c>
      <c r="O108">
        <v>2.6513</v>
      </c>
      <c r="P108">
        <v>33.776499999999999</v>
      </c>
      <c r="Q108" s="5">
        <v>14.418548441394663</v>
      </c>
      <c r="R108" s="15">
        <f t="shared" si="8"/>
        <v>275.80129999999997</v>
      </c>
      <c r="S108">
        <f t="shared" si="12"/>
        <v>336.66</v>
      </c>
      <c r="T108">
        <f t="shared" si="13"/>
        <v>1</v>
      </c>
      <c r="U108" s="4">
        <f t="shared" si="9"/>
        <v>4.306736040914632E-2</v>
      </c>
      <c r="V108" s="5">
        <f t="shared" si="10"/>
        <v>14.499057555343201</v>
      </c>
      <c r="W108" s="50">
        <f t="shared" si="11"/>
        <v>99.44472864087038</v>
      </c>
    </row>
    <row r="109" spans="7:23" x14ac:dyDescent="0.25">
      <c r="G109" s="6"/>
      <c r="H109">
        <v>33</v>
      </c>
      <c r="L109">
        <v>3.09</v>
      </c>
      <c r="O109">
        <v>0.61619999999999997</v>
      </c>
      <c r="P109">
        <v>24.932300000000001</v>
      </c>
      <c r="Q109" s="5">
        <v>15.226273445757506</v>
      </c>
      <c r="R109" s="15">
        <f t="shared" si="8"/>
        <v>273.76619999999997</v>
      </c>
      <c r="S109">
        <f t="shared" si="12"/>
        <v>336.66</v>
      </c>
      <c r="T109">
        <f t="shared" si="13"/>
        <v>1</v>
      </c>
      <c r="U109" s="4">
        <f t="shared" si="9"/>
        <v>4.926339918348268E-2</v>
      </c>
      <c r="V109" s="5">
        <f t="shared" si="10"/>
        <v>16.585015969111279</v>
      </c>
      <c r="W109" s="50">
        <f t="shared" si="11"/>
        <v>91.807409013748568</v>
      </c>
    </row>
    <row r="110" spans="7:23" x14ac:dyDescent="0.25">
      <c r="G110" s="6"/>
      <c r="H110">
        <v>33</v>
      </c>
      <c r="L110">
        <v>70</v>
      </c>
      <c r="O110">
        <v>0.37469999999999998</v>
      </c>
      <c r="P110">
        <v>32.267600000000002</v>
      </c>
      <c r="Q110" s="5">
        <v>15.262571567873978</v>
      </c>
      <c r="R110" s="15">
        <f t="shared" si="8"/>
        <v>273.5247</v>
      </c>
      <c r="S110">
        <f t="shared" si="12"/>
        <v>336.66</v>
      </c>
      <c r="T110">
        <f t="shared" si="13"/>
        <v>1</v>
      </c>
      <c r="U110" s="4">
        <f t="shared" si="9"/>
        <v>4.7607706000414717E-2</v>
      </c>
      <c r="V110" s="5">
        <f t="shared" si="10"/>
        <v>16.027610302099621</v>
      </c>
      <c r="W110" s="50">
        <f t="shared" si="11"/>
        <v>95.226744849633491</v>
      </c>
    </row>
    <row r="111" spans="7:23" x14ac:dyDescent="0.25">
      <c r="G111" s="6"/>
      <c r="K111" s="42"/>
      <c r="O111" s="31"/>
      <c r="P111" s="48"/>
      <c r="Q111" s="5"/>
      <c r="R111" s="15"/>
      <c r="U111" s="4"/>
      <c r="V111" s="5"/>
      <c r="W111" s="50"/>
    </row>
    <row r="112" spans="7:23" x14ac:dyDescent="0.25">
      <c r="G112" s="6"/>
      <c r="K112" s="42"/>
      <c r="O112" s="31"/>
      <c r="P112" s="48"/>
      <c r="Q112" s="5"/>
      <c r="R112" s="15"/>
      <c r="U112" s="4"/>
      <c r="V112" s="5"/>
      <c r="W112" s="50"/>
    </row>
    <row r="113" spans="7:23" x14ac:dyDescent="0.25">
      <c r="G113" s="6"/>
      <c r="K113" s="42"/>
      <c r="O113" s="31"/>
      <c r="P113" s="48"/>
      <c r="Q113" s="5"/>
      <c r="R113" s="15"/>
      <c r="U113" s="4"/>
      <c r="V113" s="5"/>
      <c r="W113" s="50"/>
    </row>
    <row r="114" spans="7:23" x14ac:dyDescent="0.25">
      <c r="G114" s="6"/>
      <c r="K114" s="42"/>
      <c r="O114" s="31"/>
      <c r="P114" s="48"/>
      <c r="Q114" s="5"/>
      <c r="R114" s="15"/>
      <c r="U114" s="4"/>
      <c r="V114" s="5"/>
      <c r="W114" s="50"/>
    </row>
    <row r="115" spans="7:23" x14ac:dyDescent="0.25">
      <c r="G115" s="6"/>
      <c r="K115" s="42"/>
      <c r="O115" s="31"/>
      <c r="P115" s="48"/>
      <c r="Q115" s="5"/>
      <c r="R115" s="15"/>
      <c r="U115" s="4"/>
      <c r="V115" s="5"/>
      <c r="W115" s="50"/>
    </row>
    <row r="116" spans="7:23" x14ac:dyDescent="0.25">
      <c r="G116" s="6"/>
      <c r="K116" s="42"/>
      <c r="O116" s="31"/>
      <c r="P116" s="48"/>
      <c r="Q116" s="5"/>
      <c r="R116" s="15"/>
      <c r="U116" s="4"/>
      <c r="V116" s="5"/>
      <c r="W116" s="50"/>
    </row>
    <row r="117" spans="7:23" x14ac:dyDescent="0.25">
      <c r="G117" s="6"/>
      <c r="K117" s="42"/>
      <c r="O117" s="31"/>
      <c r="P117" s="48"/>
      <c r="Q117" s="5"/>
      <c r="R117" s="15"/>
      <c r="U117" s="4"/>
      <c r="V117" s="5"/>
      <c r="W117" s="50"/>
    </row>
    <row r="118" spans="7:23" x14ac:dyDescent="0.25">
      <c r="G118" s="6"/>
      <c r="H118" s="44"/>
      <c r="I118" s="44"/>
      <c r="J118" s="44"/>
      <c r="K118" s="45"/>
      <c r="L118" s="44"/>
      <c r="O118" s="44"/>
      <c r="P118" s="47"/>
      <c r="Q118" s="46"/>
      <c r="R118" s="15"/>
      <c r="U118" s="4"/>
      <c r="V118" s="5"/>
      <c r="W118" s="50"/>
    </row>
    <row r="119" spans="7:23" x14ac:dyDescent="0.25">
      <c r="G119" s="6"/>
      <c r="H119" s="44"/>
      <c r="I119" s="44"/>
      <c r="J119" s="44"/>
      <c r="K119" s="45"/>
      <c r="L119" s="44"/>
      <c r="O119" s="44"/>
      <c r="P119" s="47"/>
      <c r="Q119" s="46"/>
      <c r="R119" s="15"/>
      <c r="U119" s="4"/>
      <c r="V119" s="5"/>
      <c r="W119" s="50"/>
    </row>
    <row r="120" spans="7:23" x14ac:dyDescent="0.25">
      <c r="G120" s="6"/>
      <c r="H120" s="44"/>
      <c r="I120" s="44"/>
      <c r="J120" s="44"/>
      <c r="K120" s="45"/>
      <c r="L120" s="44"/>
      <c r="O120" s="44"/>
      <c r="P120" s="47"/>
      <c r="Q120" s="46"/>
      <c r="R120" s="15"/>
      <c r="U120" s="4"/>
      <c r="V120" s="5"/>
      <c r="W120" s="50"/>
    </row>
    <row r="121" spans="7:23" x14ac:dyDescent="0.25">
      <c r="G121" s="6"/>
      <c r="H121" s="44"/>
      <c r="I121" s="44"/>
      <c r="J121" s="44"/>
      <c r="K121" s="45"/>
      <c r="L121" s="44"/>
      <c r="O121" s="44"/>
      <c r="P121" s="47"/>
      <c r="Q121" s="46"/>
      <c r="R121" s="15"/>
      <c r="U121" s="4"/>
      <c r="V121" s="5"/>
      <c r="W121" s="50"/>
    </row>
    <row r="122" spans="7:23" x14ac:dyDescent="0.25">
      <c r="G122" s="6"/>
      <c r="H122" s="44"/>
      <c r="I122" s="44"/>
      <c r="J122" s="44"/>
      <c r="K122" s="45"/>
      <c r="L122" s="44"/>
      <c r="O122" s="44"/>
      <c r="P122" s="47"/>
      <c r="Q122" s="46"/>
      <c r="R122" s="15"/>
      <c r="U122" s="4"/>
      <c r="V122" s="5"/>
      <c r="W122" s="50"/>
    </row>
    <row r="123" spans="7:23" x14ac:dyDescent="0.25">
      <c r="G123" s="6"/>
      <c r="H123" s="44"/>
      <c r="I123" s="44"/>
      <c r="J123" s="44"/>
      <c r="K123" s="45"/>
      <c r="L123" s="44"/>
      <c r="O123" s="44"/>
      <c r="P123" s="47"/>
      <c r="Q123" s="46"/>
      <c r="R123" s="15"/>
      <c r="U123" s="4"/>
      <c r="V123" s="5"/>
      <c r="W123" s="50"/>
    </row>
    <row r="124" spans="7:23" x14ac:dyDescent="0.25">
      <c r="G124" s="6"/>
      <c r="H124" s="44"/>
      <c r="I124" s="44"/>
      <c r="J124" s="44"/>
      <c r="K124" s="45"/>
      <c r="L124" s="44"/>
      <c r="O124" s="44"/>
      <c r="P124" s="47"/>
      <c r="Q124" s="46"/>
      <c r="R124" s="15"/>
      <c r="U124" s="4"/>
      <c r="V124" s="5"/>
      <c r="W124" s="50"/>
    </row>
    <row r="125" spans="7:23" x14ac:dyDescent="0.25">
      <c r="G125" s="6"/>
      <c r="H125" s="44"/>
      <c r="I125" s="44"/>
      <c r="J125" s="44"/>
      <c r="K125" s="45"/>
      <c r="L125" s="44"/>
      <c r="O125" s="44"/>
      <c r="P125" s="47"/>
      <c r="Q125" s="46"/>
      <c r="R125" s="15"/>
      <c r="U125" s="4"/>
      <c r="V125" s="5"/>
      <c r="W125" s="50"/>
    </row>
    <row r="126" spans="7:23" x14ac:dyDescent="0.25">
      <c r="G126" s="6"/>
      <c r="H126" s="44"/>
      <c r="I126" s="44"/>
      <c r="J126" s="44"/>
      <c r="K126" s="45"/>
      <c r="L126" s="44"/>
      <c r="O126" s="44"/>
      <c r="P126" s="47"/>
      <c r="Q126" s="46"/>
      <c r="R126" s="15"/>
      <c r="U126" s="4"/>
      <c r="V126" s="5"/>
      <c r="W126" s="50"/>
    </row>
    <row r="127" spans="7:23" x14ac:dyDescent="0.25">
      <c r="G127" s="6"/>
      <c r="H127" s="44"/>
      <c r="I127" s="44"/>
      <c r="J127" s="44"/>
      <c r="K127" s="45"/>
      <c r="L127" s="44"/>
      <c r="O127" s="46"/>
      <c r="P127" s="47"/>
      <c r="Q127" s="46"/>
      <c r="R127" s="15"/>
      <c r="U127" s="4"/>
      <c r="V127" s="5"/>
      <c r="W127" s="50"/>
    </row>
    <row r="128" spans="7:23" x14ac:dyDescent="0.25">
      <c r="G128" s="31"/>
      <c r="K128" s="42"/>
      <c r="P128" s="4"/>
      <c r="Q128" s="5"/>
      <c r="R128" s="15"/>
      <c r="U128" s="4"/>
      <c r="V128" s="5"/>
      <c r="W128" s="50"/>
    </row>
    <row r="129" spans="7:23" x14ac:dyDescent="0.25">
      <c r="G129" s="31"/>
      <c r="K129" s="42"/>
      <c r="P129" s="4"/>
      <c r="Q129" s="5"/>
      <c r="R129" s="15"/>
      <c r="U129" s="4"/>
      <c r="V129" s="5"/>
      <c r="W129" s="50"/>
    </row>
    <row r="130" spans="7:23" x14ac:dyDescent="0.25">
      <c r="G130" s="31"/>
      <c r="K130" s="42"/>
      <c r="P130" s="4"/>
      <c r="Q130" s="5"/>
      <c r="R130" s="15"/>
      <c r="U130" s="4"/>
      <c r="V130" s="5"/>
      <c r="W130" s="50"/>
    </row>
    <row r="131" spans="7:23" x14ac:dyDescent="0.25">
      <c r="G131" s="31"/>
      <c r="K131" s="42"/>
      <c r="P131" s="4"/>
      <c r="Q131" s="5"/>
      <c r="R131" s="15"/>
      <c r="U131" s="4"/>
      <c r="V131" s="5"/>
      <c r="W131" s="50"/>
    </row>
    <row r="132" spans="7:23" x14ac:dyDescent="0.25">
      <c r="G132" s="31"/>
      <c r="K132" s="42"/>
      <c r="P132" s="4"/>
      <c r="Q132" s="5"/>
      <c r="R132" s="15"/>
      <c r="U132" s="4"/>
      <c r="V132" s="5"/>
      <c r="W132" s="50"/>
    </row>
    <row r="133" spans="7:23" x14ac:dyDescent="0.25">
      <c r="G133" s="31"/>
      <c r="K133" s="42"/>
      <c r="P133" s="4"/>
      <c r="Q133" s="5"/>
      <c r="R133" s="15"/>
      <c r="U133" s="4"/>
      <c r="V133" s="5"/>
      <c r="W133" s="50"/>
    </row>
    <row r="134" spans="7:23" x14ac:dyDescent="0.25">
      <c r="G134" s="31"/>
      <c r="K134" s="42"/>
      <c r="P134" s="4"/>
      <c r="Q134" s="5"/>
      <c r="R134" s="15"/>
      <c r="U134" s="4"/>
      <c r="V134" s="5"/>
      <c r="W134" s="50"/>
    </row>
    <row r="135" spans="7:23" x14ac:dyDescent="0.25">
      <c r="G135" s="31"/>
      <c r="K135" s="42"/>
      <c r="P135" s="4"/>
      <c r="Q135" s="5"/>
      <c r="R135" s="15"/>
      <c r="U135" s="4"/>
      <c r="V135" s="5"/>
      <c r="W135" s="50"/>
    </row>
    <row r="136" spans="7:23" x14ac:dyDescent="0.25">
      <c r="G136" s="31"/>
      <c r="H136" s="44"/>
      <c r="I136" s="44"/>
      <c r="J136" s="44"/>
      <c r="K136" s="45"/>
      <c r="L136" s="44"/>
      <c r="O136" s="44"/>
      <c r="P136" s="47"/>
      <c r="Q136" s="46"/>
      <c r="R136" s="15"/>
      <c r="U136" s="4"/>
      <c r="V136" s="5"/>
      <c r="W136" s="50"/>
    </row>
    <row r="137" spans="7:23" x14ac:dyDescent="0.25">
      <c r="G137" s="31"/>
      <c r="H137" s="44"/>
      <c r="I137" s="44"/>
      <c r="J137" s="44"/>
      <c r="K137" s="45"/>
      <c r="L137" s="44"/>
      <c r="O137" s="44"/>
      <c r="P137" s="47"/>
      <c r="Q137" s="46"/>
      <c r="R137" s="15"/>
      <c r="U137" s="4"/>
      <c r="V137" s="5"/>
      <c r="W137" s="50"/>
    </row>
    <row r="138" spans="7:23" x14ac:dyDescent="0.25">
      <c r="G138" s="31"/>
      <c r="H138" s="44"/>
      <c r="I138" s="44"/>
      <c r="J138" s="44"/>
      <c r="K138" s="45"/>
      <c r="L138" s="44"/>
      <c r="O138" s="44"/>
      <c r="P138" s="47"/>
      <c r="Q138" s="46"/>
      <c r="R138" s="15"/>
      <c r="U138" s="4"/>
      <c r="V138" s="5"/>
      <c r="W138" s="50"/>
    </row>
    <row r="139" spans="7:23" x14ac:dyDescent="0.25">
      <c r="G139" s="31"/>
      <c r="H139" s="44"/>
      <c r="I139" s="44"/>
      <c r="J139" s="44"/>
      <c r="K139" s="45"/>
      <c r="L139" s="44"/>
      <c r="O139" s="44"/>
      <c r="P139" s="47"/>
      <c r="Q139" s="46"/>
      <c r="R139" s="15"/>
      <c r="U139" s="4"/>
      <c r="V139" s="5"/>
      <c r="W139" s="50"/>
    </row>
    <row r="140" spans="7:23" x14ac:dyDescent="0.25">
      <c r="G140" s="31"/>
      <c r="H140" s="44"/>
      <c r="I140" s="44"/>
      <c r="J140" s="44"/>
      <c r="K140" s="45"/>
      <c r="L140" s="44"/>
      <c r="O140" s="44"/>
      <c r="P140" s="47"/>
      <c r="Q140" s="46"/>
      <c r="R140" s="15"/>
      <c r="U140" s="4"/>
      <c r="V140" s="5"/>
      <c r="W140" s="50"/>
    </row>
    <row r="141" spans="7:23" x14ac:dyDescent="0.25">
      <c r="G141" s="31"/>
      <c r="H141" s="44"/>
      <c r="I141" s="44"/>
      <c r="J141" s="44"/>
      <c r="K141" s="45"/>
      <c r="L141" s="44"/>
      <c r="O141" s="44"/>
      <c r="P141" s="47"/>
      <c r="Q141" s="49"/>
      <c r="R141" s="15"/>
      <c r="U141" s="4"/>
      <c r="V141" s="5"/>
      <c r="W141" s="50"/>
    </row>
    <row r="142" spans="7:23" x14ac:dyDescent="0.25">
      <c r="G142" s="31"/>
      <c r="H142" s="44"/>
      <c r="I142" s="44"/>
      <c r="J142" s="44"/>
      <c r="K142" s="45"/>
      <c r="L142" s="44"/>
      <c r="O142" s="46"/>
      <c r="P142" s="47"/>
      <c r="Q142" s="49"/>
      <c r="R142" s="15"/>
      <c r="U142" s="4"/>
      <c r="V142" s="5"/>
      <c r="W142" s="50"/>
    </row>
    <row r="143" spans="7:23" x14ac:dyDescent="0.25">
      <c r="G143" s="31"/>
      <c r="H143" s="44"/>
      <c r="I143" s="44"/>
      <c r="J143" s="44"/>
      <c r="K143" s="45"/>
      <c r="L143" s="44"/>
      <c r="O143" s="46"/>
      <c r="P143" s="47"/>
      <c r="Q143" s="49"/>
      <c r="R143" s="15"/>
      <c r="U143" s="4"/>
      <c r="V143" s="5"/>
      <c r="W143" s="50"/>
    </row>
    <row r="144" spans="7:23" x14ac:dyDescent="0.25">
      <c r="G144" s="31"/>
      <c r="H144" s="44"/>
      <c r="I144" s="44"/>
      <c r="J144" s="44"/>
      <c r="K144" s="45"/>
      <c r="L144" s="44"/>
      <c r="O144" s="46"/>
      <c r="P144" s="47"/>
      <c r="Q144" s="49"/>
      <c r="R144" s="15"/>
      <c r="U144" s="4"/>
      <c r="V144" s="5"/>
      <c r="W144" s="50"/>
    </row>
    <row r="145" spans="7:23" x14ac:dyDescent="0.25">
      <c r="G145" s="31"/>
      <c r="H145" s="44"/>
      <c r="I145" s="44"/>
      <c r="J145" s="44"/>
      <c r="K145" s="45"/>
      <c r="L145" s="44"/>
      <c r="O145" s="46"/>
      <c r="P145" s="47"/>
      <c r="Q145" s="49"/>
      <c r="R145" s="15"/>
      <c r="U145" s="4"/>
      <c r="V145" s="5"/>
      <c r="W145" s="50"/>
    </row>
    <row r="146" spans="7:23" x14ac:dyDescent="0.25">
      <c r="G146" s="31"/>
      <c r="H146" s="31"/>
      <c r="I146" s="31"/>
      <c r="J146" s="31"/>
      <c r="R146" s="15"/>
      <c r="U146" s="4"/>
      <c r="V146" s="5"/>
      <c r="W146" s="50"/>
    </row>
    <row r="147" spans="7:23" x14ac:dyDescent="0.25">
      <c r="G147" s="31"/>
      <c r="H147" s="31"/>
      <c r="I147" s="31"/>
      <c r="J147" s="31"/>
      <c r="R147" s="15"/>
      <c r="U147" s="4"/>
      <c r="V147" s="5"/>
      <c r="W147" s="50"/>
    </row>
    <row r="148" spans="7:23" x14ac:dyDescent="0.25">
      <c r="G148" s="31"/>
      <c r="H148" s="31"/>
      <c r="I148" s="31"/>
      <c r="J148" s="31"/>
      <c r="R148" s="15"/>
      <c r="U148" s="4"/>
      <c r="V148" s="5"/>
      <c r="W148" s="50"/>
    </row>
    <row r="149" spans="7:23" x14ac:dyDescent="0.25">
      <c r="G149" s="31"/>
      <c r="H149" s="31"/>
      <c r="I149" s="31"/>
      <c r="J149" s="31"/>
      <c r="R149" s="15"/>
      <c r="U149" s="4"/>
      <c r="V149" s="5"/>
      <c r="W149" s="50"/>
    </row>
    <row r="150" spans="7:23" x14ac:dyDescent="0.25">
      <c r="G150" s="31"/>
      <c r="H150" s="31"/>
      <c r="I150" s="31"/>
      <c r="J150" s="31"/>
      <c r="R150" s="15"/>
      <c r="U150" s="4"/>
      <c r="V150" s="5"/>
      <c r="W150" s="50"/>
    </row>
    <row r="151" spans="7:23" x14ac:dyDescent="0.25">
      <c r="G151" s="31"/>
      <c r="H151" s="31"/>
      <c r="I151" s="31"/>
      <c r="J151" s="31"/>
      <c r="R151" s="15"/>
      <c r="U151" s="4"/>
      <c r="V151" s="5"/>
      <c r="W151" s="50"/>
    </row>
    <row r="152" spans="7:23" x14ac:dyDescent="0.25">
      <c r="G152" s="31"/>
      <c r="H152" s="31"/>
      <c r="I152" s="31"/>
      <c r="J152" s="31"/>
      <c r="R152" s="15"/>
      <c r="U152" s="4"/>
      <c r="V152" s="5"/>
      <c r="W152" s="50"/>
    </row>
    <row r="153" spans="7:23" x14ac:dyDescent="0.25">
      <c r="G153" s="31"/>
      <c r="H153" s="31"/>
      <c r="I153" s="31"/>
      <c r="J153" s="31"/>
      <c r="R153" s="15"/>
      <c r="U153" s="4"/>
      <c r="V153" s="5"/>
      <c r="W153" s="50"/>
    </row>
    <row r="154" spans="7:23" x14ac:dyDescent="0.25">
      <c r="G154" s="31"/>
      <c r="H154" s="31"/>
      <c r="I154" s="31"/>
      <c r="J154" s="31"/>
      <c r="R154" s="15"/>
      <c r="U154" s="4"/>
      <c r="V154" s="5"/>
      <c r="W154" s="50"/>
    </row>
    <row r="155" spans="7:23" x14ac:dyDescent="0.25">
      <c r="G155" s="31"/>
      <c r="H155" s="31"/>
      <c r="I155" s="31"/>
      <c r="J155" s="31"/>
      <c r="R155" s="15"/>
      <c r="U155" s="4"/>
      <c r="V155" s="5"/>
      <c r="W155" s="50"/>
    </row>
    <row r="156" spans="7:23" x14ac:dyDescent="0.25">
      <c r="G156" s="31"/>
      <c r="H156" s="31"/>
      <c r="I156" s="31"/>
      <c r="J156" s="31"/>
      <c r="R156" s="15"/>
      <c r="U156" s="4"/>
      <c r="V156" s="5"/>
      <c r="W156" s="50"/>
    </row>
    <row r="157" spans="7:23" x14ac:dyDescent="0.25">
      <c r="G157" s="31"/>
      <c r="H157" s="31"/>
      <c r="I157" s="31"/>
      <c r="J157" s="31"/>
      <c r="R157" s="15"/>
      <c r="U157" s="4"/>
      <c r="V157" s="5"/>
      <c r="W157" s="50"/>
    </row>
    <row r="158" spans="7:23" x14ac:dyDescent="0.25">
      <c r="G158" s="31"/>
      <c r="H158" s="31"/>
      <c r="I158" s="31"/>
      <c r="J158" s="31"/>
      <c r="R158" s="15"/>
      <c r="U158" s="4"/>
      <c r="V158" s="5"/>
      <c r="W158" s="50"/>
    </row>
    <row r="159" spans="7:23" x14ac:dyDescent="0.25">
      <c r="G159" s="31"/>
      <c r="H159" s="31"/>
      <c r="I159" s="31"/>
      <c r="J159" s="31"/>
      <c r="R159" s="15"/>
      <c r="U159" s="4"/>
      <c r="V159" s="5"/>
      <c r="W159" s="50"/>
    </row>
    <row r="160" spans="7:23" x14ac:dyDescent="0.25">
      <c r="G160" s="31"/>
      <c r="H160" s="31"/>
      <c r="I160" s="31"/>
      <c r="J160" s="31"/>
      <c r="R160" s="15"/>
      <c r="U160" s="4"/>
      <c r="V160" s="5"/>
      <c r="W160" s="50"/>
    </row>
    <row r="161" spans="7:23" x14ac:dyDescent="0.25">
      <c r="G161" s="31"/>
      <c r="H161" s="31"/>
      <c r="I161" s="31"/>
      <c r="J161" s="31"/>
      <c r="P161" s="25"/>
      <c r="R161" s="15"/>
      <c r="U161" s="4"/>
      <c r="V161" s="5"/>
      <c r="W161" s="50"/>
    </row>
    <row r="162" spans="7:23" x14ac:dyDescent="0.25">
      <c r="G162" s="31"/>
      <c r="H162" s="31"/>
      <c r="I162" s="31"/>
      <c r="J162" s="31"/>
      <c r="P162" s="25"/>
      <c r="R162" s="15"/>
      <c r="U162" s="4"/>
      <c r="V162" s="5"/>
      <c r="W162" s="50"/>
    </row>
    <row r="163" spans="7:23" x14ac:dyDescent="0.25">
      <c r="G163" s="31"/>
      <c r="H163" s="31"/>
      <c r="I163" s="31"/>
      <c r="J163" s="31"/>
      <c r="P163" s="25"/>
      <c r="R163" s="15"/>
      <c r="U163" s="4"/>
      <c r="V163" s="5"/>
      <c r="W163" s="50"/>
    </row>
    <row r="164" spans="7:23" x14ac:dyDescent="0.25">
      <c r="G164" s="31"/>
      <c r="H164" s="31"/>
      <c r="I164" s="31"/>
      <c r="J164" s="31"/>
      <c r="P164" s="25"/>
      <c r="R164" s="15"/>
      <c r="U164" s="4"/>
      <c r="V164" s="5"/>
      <c r="W164" s="50"/>
    </row>
    <row r="165" spans="7:23" x14ac:dyDescent="0.25">
      <c r="G165" s="31"/>
      <c r="H165" s="31"/>
      <c r="I165" s="31"/>
      <c r="J165" s="31"/>
      <c r="P165" s="25"/>
      <c r="R165" s="15"/>
      <c r="U165" s="4"/>
      <c r="V165" s="5"/>
      <c r="W165" s="50"/>
    </row>
    <row r="166" spans="7:23" x14ac:dyDescent="0.25">
      <c r="G166" s="31"/>
      <c r="H166" s="31"/>
      <c r="I166" s="31"/>
      <c r="J166" s="31"/>
      <c r="P166" s="25"/>
      <c r="R166" s="15"/>
      <c r="U166" s="4"/>
      <c r="V166" s="5"/>
      <c r="W166" s="50"/>
    </row>
    <row r="167" spans="7:23" x14ac:dyDescent="0.25">
      <c r="G167" s="31"/>
      <c r="H167" s="31"/>
      <c r="I167" s="31"/>
      <c r="J167" s="31"/>
      <c r="P167" s="25"/>
      <c r="R167" s="15"/>
      <c r="U167" s="4"/>
      <c r="V167" s="5"/>
      <c r="W167" s="50"/>
    </row>
    <row r="168" spans="7:23" x14ac:dyDescent="0.25">
      <c r="G168" s="31"/>
      <c r="H168" s="31"/>
      <c r="I168" s="31"/>
      <c r="J168" s="31"/>
      <c r="P168" s="25"/>
      <c r="R168" s="15"/>
      <c r="U168" s="4"/>
      <c r="V168" s="5"/>
      <c r="W168" s="50"/>
    </row>
    <row r="169" spans="7:23" x14ac:dyDescent="0.25">
      <c r="G169" s="31"/>
      <c r="H169" s="31"/>
      <c r="I169" s="31"/>
      <c r="J169" s="31"/>
      <c r="P169" s="25"/>
      <c r="R169" s="15"/>
      <c r="U169" s="4"/>
      <c r="V169" s="5"/>
      <c r="W169" s="50"/>
    </row>
    <row r="170" spans="7:23" x14ac:dyDescent="0.25">
      <c r="G170" s="31"/>
      <c r="H170" s="31"/>
      <c r="I170" s="31"/>
      <c r="J170" s="31"/>
      <c r="P170" s="25"/>
      <c r="R170" s="15"/>
      <c r="U170" s="4"/>
      <c r="V170" s="5"/>
      <c r="W170" s="50"/>
    </row>
    <row r="171" spans="7:23" x14ac:dyDescent="0.25">
      <c r="G171" s="31"/>
      <c r="H171" s="31"/>
      <c r="I171" s="31"/>
      <c r="J171" s="31"/>
      <c r="R171" s="15"/>
      <c r="U171" s="4"/>
      <c r="V171" s="5"/>
      <c r="W171" s="50"/>
    </row>
    <row r="172" spans="7:23" x14ac:dyDescent="0.25">
      <c r="G172" s="31"/>
      <c r="H172" s="31"/>
      <c r="I172" s="31"/>
      <c r="J172" s="31"/>
      <c r="R172" s="15"/>
      <c r="U172" s="4"/>
      <c r="V172" s="5"/>
      <c r="W172" s="50"/>
    </row>
    <row r="173" spans="7:23" x14ac:dyDescent="0.25">
      <c r="G173" s="31"/>
      <c r="H173" s="31"/>
      <c r="I173" s="31"/>
      <c r="J173" s="31"/>
      <c r="R173" s="15"/>
      <c r="U173" s="4"/>
      <c r="V173" s="5"/>
      <c r="W173" s="50"/>
    </row>
    <row r="174" spans="7:23" x14ac:dyDescent="0.25">
      <c r="G174" s="31"/>
      <c r="H174" s="31"/>
      <c r="I174" s="31"/>
      <c r="J174" s="31"/>
      <c r="R174" s="15"/>
      <c r="U174" s="4"/>
      <c r="V174" s="5"/>
      <c r="W174" s="50"/>
    </row>
    <row r="175" spans="7:23" x14ac:dyDescent="0.25">
      <c r="G175" s="31"/>
      <c r="H175" s="31"/>
      <c r="I175" s="31"/>
      <c r="J175" s="31"/>
      <c r="R175" s="15"/>
      <c r="U175" s="4"/>
      <c r="V175" s="5"/>
      <c r="W175" s="50"/>
    </row>
    <row r="176" spans="7:23" x14ac:dyDescent="0.25">
      <c r="G176" s="31"/>
      <c r="H176" s="31"/>
      <c r="I176" s="31"/>
      <c r="J176" s="31"/>
      <c r="R176" s="15"/>
      <c r="U176" s="4"/>
      <c r="V176" s="5"/>
      <c r="W176" s="50"/>
    </row>
    <row r="177" spans="7:23" x14ac:dyDescent="0.25">
      <c r="G177" s="31"/>
      <c r="H177" s="31"/>
      <c r="I177" s="31"/>
      <c r="J177" s="31"/>
      <c r="R177" s="15"/>
      <c r="U177" s="4"/>
      <c r="V177" s="5"/>
      <c r="W177" s="50"/>
    </row>
    <row r="178" spans="7:23" x14ac:dyDescent="0.25">
      <c r="G178" s="31"/>
      <c r="H178" s="31"/>
      <c r="I178" s="31"/>
      <c r="J178" s="31"/>
      <c r="R178" s="15"/>
      <c r="U178" s="4"/>
      <c r="V178" s="5"/>
      <c r="W178" s="50"/>
    </row>
    <row r="179" spans="7:23" x14ac:dyDescent="0.25">
      <c r="G179" s="31"/>
      <c r="H179" s="31"/>
      <c r="I179" s="31"/>
      <c r="J179" s="31"/>
      <c r="R179" s="15"/>
      <c r="U179" s="4"/>
      <c r="V179" s="5"/>
      <c r="W179" s="50"/>
    </row>
    <row r="180" spans="7:23" x14ac:dyDescent="0.25">
      <c r="G180" s="31"/>
      <c r="H180" s="31"/>
      <c r="I180" s="31"/>
      <c r="J180" s="31"/>
      <c r="R180" s="15"/>
      <c r="U180" s="4"/>
      <c r="V180" s="5"/>
      <c r="W180" s="50"/>
    </row>
    <row r="181" spans="7:23" x14ac:dyDescent="0.25">
      <c r="G181" s="31"/>
      <c r="H181" s="31"/>
      <c r="I181" s="31"/>
      <c r="J181" s="31"/>
      <c r="P181" s="25"/>
      <c r="R181" s="15"/>
      <c r="U181" s="4"/>
      <c r="V181" s="5"/>
      <c r="W181" s="50"/>
    </row>
    <row r="182" spans="7:23" x14ac:dyDescent="0.25">
      <c r="G182" s="31"/>
      <c r="H182" s="31"/>
      <c r="I182" s="31"/>
      <c r="J182" s="31"/>
      <c r="P182" s="25"/>
      <c r="R182" s="15"/>
      <c r="U182" s="4"/>
      <c r="V182" s="5"/>
      <c r="W182" s="50"/>
    </row>
    <row r="183" spans="7:23" x14ac:dyDescent="0.25">
      <c r="G183" s="31"/>
      <c r="H183" s="31"/>
      <c r="I183" s="31"/>
      <c r="J183" s="31"/>
      <c r="P183" s="25"/>
      <c r="R183" s="15"/>
      <c r="U183" s="4"/>
      <c r="V183" s="5"/>
      <c r="W183" s="50"/>
    </row>
    <row r="184" spans="7:23" x14ac:dyDescent="0.25">
      <c r="G184" s="31"/>
      <c r="H184" s="31"/>
      <c r="I184" s="31"/>
      <c r="J184" s="31"/>
      <c r="P184" s="25"/>
      <c r="R184" s="15"/>
      <c r="U184" s="4"/>
      <c r="V184" s="5"/>
      <c r="W184" s="50"/>
    </row>
    <row r="185" spans="7:23" x14ac:dyDescent="0.25">
      <c r="G185" s="31"/>
      <c r="H185" s="31"/>
      <c r="I185" s="31"/>
      <c r="J185" s="31"/>
      <c r="P185" s="25"/>
      <c r="R185" s="15"/>
      <c r="U185" s="4"/>
      <c r="V185" s="5"/>
      <c r="W185" s="50"/>
    </row>
    <row r="186" spans="7:23" x14ac:dyDescent="0.25">
      <c r="G186" s="31"/>
      <c r="H186" s="31"/>
      <c r="I186" s="31"/>
      <c r="J186" s="31"/>
      <c r="P186" s="25"/>
      <c r="R186" s="15"/>
      <c r="U186" s="4"/>
      <c r="V186" s="5"/>
      <c r="W186" s="50"/>
    </row>
    <row r="187" spans="7:23" x14ac:dyDescent="0.25">
      <c r="G187" s="31"/>
      <c r="H187" s="31"/>
      <c r="I187" s="31"/>
      <c r="J187" s="31"/>
      <c r="P187" s="25"/>
      <c r="R187" s="15"/>
      <c r="U187" s="4"/>
      <c r="V187" s="5"/>
      <c r="W187" s="50"/>
    </row>
    <row r="188" spans="7:23" x14ac:dyDescent="0.25">
      <c r="G188" s="31"/>
      <c r="H188" s="31"/>
      <c r="I188" s="31"/>
      <c r="J188" s="31"/>
      <c r="P188" s="25"/>
      <c r="R188" s="15"/>
      <c r="U188" s="4"/>
      <c r="V188" s="5"/>
      <c r="W188" s="50"/>
    </row>
    <row r="189" spans="7:23" x14ac:dyDescent="0.25">
      <c r="G189" s="31"/>
      <c r="H189" s="31"/>
      <c r="I189" s="31"/>
      <c r="J189" s="31"/>
      <c r="P189" s="25"/>
      <c r="R189" s="15"/>
      <c r="U189" s="4"/>
      <c r="V189" s="5"/>
      <c r="W189" s="17"/>
    </row>
    <row r="190" spans="7:23" x14ac:dyDescent="0.25">
      <c r="G190" s="31"/>
      <c r="H190" s="31"/>
      <c r="I190" s="31"/>
      <c r="J190" s="31"/>
      <c r="P190" s="25"/>
      <c r="R190" s="15"/>
      <c r="U190" s="4"/>
      <c r="V190" s="5"/>
      <c r="W190" s="17"/>
    </row>
    <row r="191" spans="7:23" x14ac:dyDescent="0.25">
      <c r="G191" s="31"/>
      <c r="H191" s="31"/>
      <c r="I191" s="31"/>
      <c r="J191" s="31"/>
      <c r="P191" s="25"/>
      <c r="R191" s="15"/>
      <c r="U191" s="4"/>
      <c r="V191" s="5"/>
      <c r="W191" s="17"/>
    </row>
    <row r="192" spans="7:23" x14ac:dyDescent="0.25">
      <c r="G192" s="31"/>
      <c r="H192" s="31"/>
      <c r="I192" s="31"/>
      <c r="J192" s="31"/>
      <c r="P192" s="25"/>
      <c r="R192" s="15"/>
      <c r="U192" s="4"/>
      <c r="V192" s="5"/>
      <c r="W192" s="17"/>
    </row>
    <row r="193" spans="7:23" x14ac:dyDescent="0.25">
      <c r="G193" s="31"/>
      <c r="H193" s="31"/>
      <c r="I193" s="31"/>
      <c r="J193" s="31"/>
      <c r="P193" s="25"/>
      <c r="R193" s="15"/>
      <c r="U193" s="4"/>
      <c r="V193" s="5"/>
      <c r="W193" s="17"/>
    </row>
    <row r="194" spans="7:23" x14ac:dyDescent="0.25">
      <c r="G194" s="31"/>
      <c r="H194" s="31"/>
      <c r="I194" s="31"/>
      <c r="J194" s="31"/>
      <c r="P194" s="25"/>
      <c r="R194" s="15"/>
      <c r="U194" s="4"/>
      <c r="V194" s="5"/>
      <c r="W194" s="17"/>
    </row>
    <row r="195" spans="7:23" x14ac:dyDescent="0.25">
      <c r="G195" s="31"/>
      <c r="H195" s="31"/>
      <c r="I195" s="31"/>
      <c r="J195" s="31"/>
      <c r="P195" s="25"/>
      <c r="R195" s="15"/>
      <c r="U195" s="4"/>
      <c r="V195" s="5"/>
      <c r="W195" s="17"/>
    </row>
    <row r="196" spans="7:23" x14ac:dyDescent="0.25">
      <c r="P196" s="25"/>
      <c r="R196" s="15"/>
      <c r="U196" s="4"/>
      <c r="V196" s="5"/>
      <c r="W196" s="17"/>
    </row>
    <row r="197" spans="7:23" x14ac:dyDescent="0.25">
      <c r="P197" s="25"/>
      <c r="R197" s="15"/>
      <c r="U197" s="4"/>
      <c r="V197" s="5"/>
      <c r="W197" s="17"/>
    </row>
    <row r="198" spans="7:23" x14ac:dyDescent="0.25">
      <c r="P198" s="25"/>
      <c r="R198" s="15"/>
      <c r="U198" s="4"/>
      <c r="V198" s="5"/>
      <c r="W198" s="17"/>
    </row>
    <row r="199" spans="7:23" x14ac:dyDescent="0.25">
      <c r="P199" s="25"/>
      <c r="R199" s="15"/>
      <c r="U199" s="4"/>
      <c r="V199" s="5"/>
      <c r="W199" s="17"/>
    </row>
    <row r="200" spans="7:23" x14ac:dyDescent="0.25">
      <c r="P200" s="25"/>
      <c r="R200" s="15"/>
      <c r="U200" s="4"/>
      <c r="V200" s="5"/>
      <c r="W200" s="17"/>
    </row>
    <row r="201" spans="7:23" x14ac:dyDescent="0.25">
      <c r="P201" s="25"/>
      <c r="R201" s="15"/>
      <c r="U201" s="4"/>
      <c r="V201" s="5"/>
      <c r="W201" s="17"/>
    </row>
    <row r="202" spans="7:23" x14ac:dyDescent="0.25">
      <c r="P202" s="25"/>
      <c r="R202" s="15"/>
      <c r="U202" s="4"/>
      <c r="V202" s="5"/>
      <c r="W202" s="17"/>
    </row>
    <row r="203" spans="7:23" x14ac:dyDescent="0.25">
      <c r="P203" s="25"/>
      <c r="R203" s="15"/>
      <c r="U203" s="4"/>
      <c r="V203" s="5"/>
      <c r="W203" s="17"/>
    </row>
    <row r="204" spans="7:23" x14ac:dyDescent="0.25">
      <c r="P204" s="25"/>
      <c r="R204" s="15"/>
      <c r="U204" s="4"/>
      <c r="V204" s="5"/>
      <c r="W204" s="17"/>
    </row>
    <row r="205" spans="7:23" x14ac:dyDescent="0.25">
      <c r="P205" s="25"/>
      <c r="R205" s="15"/>
      <c r="U205" s="4"/>
      <c r="V205" s="5"/>
      <c r="W205" s="17"/>
    </row>
    <row r="206" spans="7:23" x14ac:dyDescent="0.25">
      <c r="P206" s="25"/>
      <c r="R206" s="15"/>
      <c r="U206" s="4"/>
      <c r="V206" s="5"/>
      <c r="W206" s="17"/>
    </row>
    <row r="207" spans="7:23" x14ac:dyDescent="0.25">
      <c r="P207" s="25"/>
      <c r="R207" s="15"/>
      <c r="U207" s="4"/>
      <c r="V207" s="5"/>
      <c r="W207" s="17"/>
    </row>
    <row r="208" spans="7:23" x14ac:dyDescent="0.25">
      <c r="P208" s="25"/>
      <c r="R208" s="15"/>
      <c r="U208" s="4"/>
      <c r="V208" s="5"/>
      <c r="W208" s="17"/>
    </row>
    <row r="209" spans="16:23" x14ac:dyDescent="0.25">
      <c r="P209" s="25"/>
      <c r="R209" s="15"/>
      <c r="U209" s="4"/>
      <c r="V209" s="5"/>
      <c r="W209" s="17"/>
    </row>
    <row r="210" spans="16:23" x14ac:dyDescent="0.25">
      <c r="P210" s="25"/>
      <c r="R210" s="15"/>
      <c r="U210" s="4"/>
      <c r="V210" s="5"/>
      <c r="W210" s="17"/>
    </row>
    <row r="211" spans="16:23" x14ac:dyDescent="0.25">
      <c r="P211" s="25"/>
      <c r="R211" s="15"/>
      <c r="U211" s="4"/>
      <c r="V211" s="5"/>
      <c r="W211" s="17"/>
    </row>
    <row r="212" spans="16:23" x14ac:dyDescent="0.25">
      <c r="P212" s="25"/>
      <c r="R212" s="15"/>
      <c r="U212" s="4"/>
      <c r="V212" s="5"/>
      <c r="W212" s="17"/>
    </row>
    <row r="213" spans="16:23" x14ac:dyDescent="0.25">
      <c r="P213" s="25"/>
      <c r="R213" s="15"/>
      <c r="U213" s="4"/>
      <c r="V213" s="5"/>
      <c r="W213" s="17"/>
    </row>
    <row r="214" spans="16:23" x14ac:dyDescent="0.25">
      <c r="P214" s="25"/>
      <c r="R214" s="15"/>
      <c r="U214" s="4"/>
      <c r="V214" s="5"/>
      <c r="W214" s="17"/>
    </row>
    <row r="215" spans="16:23" x14ac:dyDescent="0.25">
      <c r="P215" s="25"/>
      <c r="R215" s="15"/>
      <c r="U215" s="4"/>
      <c r="V215" s="5"/>
      <c r="W215" s="17"/>
    </row>
    <row r="216" spans="16:23" x14ac:dyDescent="0.25">
      <c r="P216" s="25"/>
      <c r="R216" s="15"/>
      <c r="U216" s="4"/>
      <c r="V216" s="5"/>
      <c r="W216" s="17"/>
    </row>
    <row r="217" spans="16:23" x14ac:dyDescent="0.25">
      <c r="P217" s="25"/>
      <c r="R217" s="15"/>
      <c r="U217" s="4"/>
      <c r="V217" s="5"/>
      <c r="W217" s="17"/>
    </row>
    <row r="218" spans="16:23" x14ac:dyDescent="0.25">
      <c r="P218" s="25"/>
      <c r="R218" s="15"/>
      <c r="U218" s="4"/>
      <c r="V218" s="5"/>
      <c r="W218" s="17"/>
    </row>
    <row r="219" spans="16:23" x14ac:dyDescent="0.25">
      <c r="P219" s="25"/>
      <c r="R219" s="15"/>
      <c r="U219" s="4"/>
      <c r="V219" s="5"/>
      <c r="W219" s="17"/>
    </row>
    <row r="220" spans="16:23" x14ac:dyDescent="0.25">
      <c r="P220" s="25"/>
      <c r="R220" s="15"/>
      <c r="U220" s="4"/>
      <c r="V220" s="5"/>
      <c r="W220" s="17"/>
    </row>
    <row r="221" spans="16:23" x14ac:dyDescent="0.25">
      <c r="R221" s="15"/>
      <c r="U221" s="4"/>
      <c r="V221" s="5"/>
      <c r="W221" s="14"/>
    </row>
    <row r="222" spans="16:23" x14ac:dyDescent="0.25">
      <c r="R222" s="15"/>
      <c r="U222" s="4"/>
      <c r="V222" s="5"/>
      <c r="W222" s="17"/>
    </row>
    <row r="223" spans="16:23" x14ac:dyDescent="0.25">
      <c r="R223" s="15"/>
      <c r="U223" s="4"/>
      <c r="V223" s="5"/>
      <c r="W223" s="17"/>
    </row>
    <row r="224" spans="16:23" x14ac:dyDescent="0.25">
      <c r="R224" s="15"/>
      <c r="U224" s="4"/>
      <c r="V224" s="5"/>
      <c r="W224" s="17"/>
    </row>
    <row r="225" spans="18:23" x14ac:dyDescent="0.25">
      <c r="R225" s="15"/>
      <c r="U225" s="4"/>
      <c r="V225" s="5"/>
      <c r="W225" s="17"/>
    </row>
    <row r="226" spans="18:23" x14ac:dyDescent="0.25">
      <c r="R226" s="15"/>
      <c r="U226" s="4"/>
      <c r="V226" s="5"/>
      <c r="W226" s="17"/>
    </row>
    <row r="227" spans="18:23" x14ac:dyDescent="0.25">
      <c r="R227" s="15"/>
      <c r="U227" s="4"/>
      <c r="V227" s="5"/>
      <c r="W227" s="17"/>
    </row>
    <row r="228" spans="18:23" x14ac:dyDescent="0.25">
      <c r="R228" s="15"/>
      <c r="U228" s="4"/>
      <c r="V228" s="5"/>
      <c r="W228" s="17"/>
    </row>
    <row r="229" spans="18:23" x14ac:dyDescent="0.25">
      <c r="R229" s="15"/>
      <c r="U229" s="4"/>
      <c r="V229" s="5"/>
      <c r="W229" s="17"/>
    </row>
    <row r="230" spans="18:23" x14ac:dyDescent="0.25">
      <c r="R230" s="15"/>
      <c r="U230" s="4"/>
      <c r="V230" s="5"/>
      <c r="W230" s="17"/>
    </row>
    <row r="231" spans="18:23" x14ac:dyDescent="0.25">
      <c r="R231" s="15"/>
      <c r="U231" s="4"/>
      <c r="V231" s="5"/>
      <c r="W231" s="17"/>
    </row>
    <row r="232" spans="18:23" x14ac:dyDescent="0.25">
      <c r="R232" s="15"/>
      <c r="U232" s="4"/>
      <c r="V232" s="5"/>
      <c r="W232" s="17"/>
    </row>
    <row r="233" spans="18:23" x14ac:dyDescent="0.25">
      <c r="R233" s="15"/>
      <c r="U233" s="4"/>
      <c r="V233" s="5"/>
      <c r="W233" s="17"/>
    </row>
    <row r="234" spans="18:23" x14ac:dyDescent="0.25">
      <c r="R234" s="15"/>
      <c r="U234" s="4"/>
      <c r="V234" s="5"/>
      <c r="W234" s="17"/>
    </row>
    <row r="235" spans="18:23" x14ac:dyDescent="0.25">
      <c r="R235" s="15"/>
      <c r="U235" s="4"/>
      <c r="V235" s="5"/>
      <c r="W235" s="17"/>
    </row>
    <row r="236" spans="18:23" x14ac:dyDescent="0.25">
      <c r="R236" s="15"/>
      <c r="U236" s="4"/>
      <c r="V236" s="5"/>
      <c r="W236" s="17"/>
    </row>
    <row r="237" spans="18:23" x14ac:dyDescent="0.25">
      <c r="R237" s="15"/>
      <c r="U237" s="4"/>
      <c r="V237" s="5"/>
      <c r="W237" s="17"/>
    </row>
    <row r="238" spans="18:23" x14ac:dyDescent="0.25">
      <c r="R238" s="15"/>
      <c r="U238" s="4"/>
      <c r="V238" s="5"/>
      <c r="W238" s="17"/>
    </row>
    <row r="239" spans="18:23" x14ac:dyDescent="0.25">
      <c r="R239" s="15"/>
      <c r="U239" s="4"/>
      <c r="V239" s="5"/>
      <c r="W239" s="17"/>
    </row>
    <row r="240" spans="18:23" x14ac:dyDescent="0.25">
      <c r="R240" s="15"/>
      <c r="U240" s="4"/>
      <c r="V240" s="5"/>
      <c r="W240" s="17"/>
    </row>
    <row r="241" spans="15:23" x14ac:dyDescent="0.25">
      <c r="R241" s="15"/>
      <c r="U241" s="4"/>
      <c r="V241" s="5"/>
      <c r="W241" s="17"/>
    </row>
    <row r="242" spans="15:23" x14ac:dyDescent="0.25">
      <c r="R242" s="15"/>
      <c r="U242" s="4"/>
      <c r="V242" s="5"/>
      <c r="W242" s="17"/>
    </row>
    <row r="243" spans="15:23" x14ac:dyDescent="0.25">
      <c r="R243" s="15"/>
      <c r="U243" s="4"/>
      <c r="V243" s="5"/>
      <c r="W243" s="17"/>
    </row>
    <row r="244" spans="15:23" x14ac:dyDescent="0.25">
      <c r="O244" s="32"/>
      <c r="R244" s="15"/>
      <c r="U244" s="4"/>
      <c r="V244" s="5"/>
      <c r="W244" s="17"/>
    </row>
    <row r="245" spans="15:23" x14ac:dyDescent="0.25">
      <c r="O245" s="32"/>
      <c r="R245" s="15"/>
      <c r="U245" s="4"/>
      <c r="V245" s="5"/>
      <c r="W245" s="17"/>
    </row>
    <row r="246" spans="15:23" x14ac:dyDescent="0.25">
      <c r="O246" s="32"/>
      <c r="R246" s="15"/>
      <c r="U246" s="4"/>
      <c r="V246" s="5"/>
      <c r="W246" s="17"/>
    </row>
    <row r="247" spans="15:23" x14ac:dyDescent="0.25">
      <c r="R247" s="15"/>
      <c r="U247" s="4"/>
      <c r="V247" s="5"/>
      <c r="W247" s="17"/>
    </row>
    <row r="248" spans="15:23" x14ac:dyDescent="0.25">
      <c r="R248" s="15"/>
      <c r="U248" s="4"/>
      <c r="V248" s="5"/>
      <c r="W248" s="17"/>
    </row>
    <row r="249" spans="15:23" x14ac:dyDescent="0.25">
      <c r="R249" s="15"/>
      <c r="U249" s="4"/>
      <c r="V249" s="5"/>
      <c r="W249" s="17"/>
    </row>
    <row r="250" spans="15:23" x14ac:dyDescent="0.25">
      <c r="R250" s="15"/>
      <c r="U250" s="4"/>
      <c r="V250" s="5"/>
      <c r="W250" s="17"/>
    </row>
    <row r="251" spans="15:23" x14ac:dyDescent="0.25">
      <c r="R251" s="15"/>
      <c r="U251" s="4"/>
      <c r="V251" s="5"/>
      <c r="W251" s="17"/>
    </row>
    <row r="252" spans="15:23" x14ac:dyDescent="0.25">
      <c r="R252" s="15"/>
      <c r="U252" s="4"/>
      <c r="V252" s="5"/>
      <c r="W252" s="17"/>
    </row>
    <row r="253" spans="15:23" x14ac:dyDescent="0.25">
      <c r="R253" s="15"/>
      <c r="U253" s="4"/>
      <c r="V253" s="5"/>
      <c r="W253" s="17"/>
    </row>
    <row r="254" spans="15:23" x14ac:dyDescent="0.25">
      <c r="R254" s="15"/>
      <c r="U254" s="4"/>
      <c r="V254" s="5"/>
      <c r="W254" s="17"/>
    </row>
    <row r="255" spans="15:23" x14ac:dyDescent="0.25">
      <c r="R255" s="15"/>
      <c r="U255" s="4"/>
      <c r="V255" s="5"/>
      <c r="W255" s="17"/>
    </row>
    <row r="256" spans="15:23" x14ac:dyDescent="0.25">
      <c r="R256" s="15"/>
      <c r="U256" s="4"/>
      <c r="V256" s="5"/>
      <c r="W256" s="17"/>
    </row>
    <row r="257" spans="18:23" x14ac:dyDescent="0.25">
      <c r="R257" s="15"/>
      <c r="U257" s="4"/>
      <c r="V257" s="5"/>
      <c r="W257" s="17"/>
    </row>
    <row r="258" spans="18:23" x14ac:dyDescent="0.25">
      <c r="R258" s="15"/>
      <c r="U258" s="4"/>
      <c r="V258" s="5"/>
      <c r="W258" s="17"/>
    </row>
    <row r="259" spans="18:23" x14ac:dyDescent="0.25">
      <c r="R259" s="15"/>
      <c r="U259" s="4"/>
      <c r="V259" s="5"/>
      <c r="W259" s="17"/>
    </row>
    <row r="260" spans="18:23" x14ac:dyDescent="0.25">
      <c r="R260" s="15"/>
      <c r="U260" s="4"/>
      <c r="V260" s="5"/>
      <c r="W260" s="17"/>
    </row>
    <row r="261" spans="18:23" x14ac:dyDescent="0.25">
      <c r="R261" s="15"/>
      <c r="U261" s="4"/>
      <c r="V261" s="5"/>
      <c r="W261" s="17"/>
    </row>
    <row r="262" spans="18:23" x14ac:dyDescent="0.25">
      <c r="R262" s="15"/>
      <c r="U262" s="4"/>
      <c r="V262" s="5"/>
      <c r="W262" s="17"/>
    </row>
    <row r="263" spans="18:23" x14ac:dyDescent="0.25">
      <c r="R263" s="15"/>
      <c r="U263" s="4"/>
      <c r="V263" s="5"/>
      <c r="W263" s="17"/>
    </row>
    <row r="264" spans="18:23" x14ac:dyDescent="0.25">
      <c r="R264" s="15"/>
      <c r="U264" s="4"/>
      <c r="V264" s="5"/>
      <c r="W264" s="17"/>
    </row>
    <row r="265" spans="18:23" x14ac:dyDescent="0.25">
      <c r="R265" s="15"/>
      <c r="U265" s="4"/>
      <c r="V265" s="5"/>
      <c r="W265" s="17"/>
    </row>
    <row r="266" spans="18:23" x14ac:dyDescent="0.25">
      <c r="R266" s="15"/>
      <c r="U266" s="4"/>
      <c r="V266" s="5"/>
      <c r="W266" s="17"/>
    </row>
    <row r="267" spans="18:23" x14ac:dyDescent="0.25">
      <c r="R267" s="15"/>
      <c r="U267" s="4"/>
      <c r="V267" s="5"/>
      <c r="W267" s="17"/>
    </row>
    <row r="268" spans="18:23" x14ac:dyDescent="0.25">
      <c r="R268" s="15"/>
      <c r="U268" s="4"/>
      <c r="V268" s="5"/>
      <c r="W268" s="17"/>
    </row>
    <row r="269" spans="18:23" x14ac:dyDescent="0.25">
      <c r="R269" s="15"/>
      <c r="U269" s="4"/>
      <c r="V269" s="5"/>
      <c r="W269" s="17"/>
    </row>
    <row r="270" spans="18:23" x14ac:dyDescent="0.25">
      <c r="R270" s="15"/>
      <c r="U270" s="4"/>
      <c r="V270" s="5"/>
      <c r="W270" s="17"/>
    </row>
    <row r="271" spans="18:23" x14ac:dyDescent="0.25">
      <c r="R271" s="15"/>
      <c r="U271" s="4"/>
      <c r="V271" s="5"/>
      <c r="W271" s="17"/>
    </row>
    <row r="272" spans="18:23" x14ac:dyDescent="0.25">
      <c r="R272" s="15"/>
      <c r="U272" s="4"/>
      <c r="V272" s="5"/>
      <c r="W272" s="17"/>
    </row>
    <row r="273" spans="18:23" x14ac:dyDescent="0.25">
      <c r="R273" s="15"/>
      <c r="U273" s="4"/>
      <c r="V273" s="5"/>
      <c r="W273" s="17"/>
    </row>
    <row r="274" spans="18:23" x14ac:dyDescent="0.25">
      <c r="R274" s="15"/>
      <c r="U274" s="4"/>
      <c r="V274" s="5"/>
      <c r="W274" s="17"/>
    </row>
    <row r="275" spans="18:23" x14ac:dyDescent="0.25">
      <c r="R275" s="15"/>
      <c r="U275" s="4"/>
      <c r="V275" s="5"/>
      <c r="W275" s="17"/>
    </row>
    <row r="276" spans="18:23" x14ac:dyDescent="0.25">
      <c r="R276" s="15"/>
      <c r="U276" s="4"/>
      <c r="V276" s="5"/>
      <c r="W276" s="17"/>
    </row>
    <row r="277" spans="18:23" x14ac:dyDescent="0.25">
      <c r="R277" s="15"/>
      <c r="U277" s="4"/>
      <c r="V277" s="5"/>
      <c r="W277" s="17"/>
    </row>
    <row r="278" spans="18:23" x14ac:dyDescent="0.25">
      <c r="R278" s="15"/>
      <c r="U278" s="4"/>
      <c r="V278" s="5"/>
      <c r="W278" s="17"/>
    </row>
    <row r="279" spans="18:23" x14ac:dyDescent="0.25">
      <c r="R279" s="15"/>
      <c r="U279" s="4"/>
      <c r="V279" s="5"/>
      <c r="W279" s="17"/>
    </row>
    <row r="280" spans="18:23" x14ac:dyDescent="0.25">
      <c r="R280" s="15"/>
      <c r="U280" s="4"/>
      <c r="V280" s="5"/>
      <c r="W280" s="17"/>
    </row>
    <row r="281" spans="18:23" x14ac:dyDescent="0.25">
      <c r="R281" s="15"/>
      <c r="U281" s="4"/>
      <c r="V281" s="5"/>
      <c r="W281" s="17"/>
    </row>
    <row r="282" spans="18:23" x14ac:dyDescent="0.25">
      <c r="R282" s="15"/>
      <c r="U282" s="4"/>
      <c r="V282" s="5"/>
      <c r="W282" s="17"/>
    </row>
    <row r="283" spans="18:23" x14ac:dyDescent="0.25">
      <c r="R283" s="15"/>
      <c r="U283" s="4"/>
      <c r="V283" s="5"/>
      <c r="W283" s="17"/>
    </row>
    <row r="284" spans="18:23" x14ac:dyDescent="0.25">
      <c r="R284" s="15"/>
      <c r="U284" s="4"/>
      <c r="V284" s="5"/>
      <c r="W284" s="17"/>
    </row>
    <row r="285" spans="18:23" x14ac:dyDescent="0.25">
      <c r="R285" s="15"/>
      <c r="U285" s="4"/>
      <c r="V285" s="5"/>
      <c r="W285" s="17"/>
    </row>
    <row r="286" spans="18:23" x14ac:dyDescent="0.25">
      <c r="R286" s="15"/>
      <c r="U286" s="4"/>
      <c r="V286" s="5"/>
      <c r="W286" s="17"/>
    </row>
    <row r="287" spans="18:23" x14ac:dyDescent="0.25">
      <c r="R287" s="15"/>
      <c r="U287" s="4"/>
      <c r="V287" s="5"/>
      <c r="W287" s="17"/>
    </row>
    <row r="288" spans="18:23" x14ac:dyDescent="0.25">
      <c r="R288" s="15"/>
      <c r="U288" s="4"/>
      <c r="V288" s="5"/>
      <c r="W288" s="17"/>
    </row>
    <row r="289" spans="8:23" x14ac:dyDescent="0.25">
      <c r="R289" s="15"/>
      <c r="U289" s="4"/>
      <c r="V289" s="5"/>
      <c r="W289" s="17"/>
    </row>
    <row r="290" spans="8:23" x14ac:dyDescent="0.25">
      <c r="R290" s="15"/>
      <c r="U290" s="4"/>
      <c r="V290" s="5"/>
      <c r="W290" s="17"/>
    </row>
    <row r="291" spans="8:23" x14ac:dyDescent="0.25">
      <c r="H291" s="33"/>
      <c r="I291" s="33"/>
      <c r="J291" s="33"/>
      <c r="K291" s="34"/>
      <c r="P291" s="26"/>
      <c r="Q291"/>
      <c r="R291" s="15"/>
      <c r="U291" s="4"/>
      <c r="V291" s="5"/>
      <c r="W291" s="17"/>
    </row>
    <row r="292" spans="8:23" x14ac:dyDescent="0.25">
      <c r="H292" s="33"/>
      <c r="I292" s="33"/>
      <c r="J292" s="33"/>
      <c r="K292" s="34"/>
      <c r="P292" s="26"/>
      <c r="Q292"/>
      <c r="R292" s="15"/>
      <c r="U292" s="4"/>
      <c r="V292" s="5"/>
      <c r="W292" s="17"/>
    </row>
    <row r="293" spans="8:23" x14ac:dyDescent="0.25">
      <c r="H293" s="33"/>
      <c r="I293" s="33"/>
      <c r="J293" s="33"/>
      <c r="K293" s="34"/>
      <c r="P293" s="26"/>
      <c r="Q293"/>
      <c r="R293" s="15"/>
      <c r="U293" s="4"/>
      <c r="V293" s="5"/>
      <c r="W293" s="17"/>
    </row>
    <row r="294" spans="8:23" x14ac:dyDescent="0.25">
      <c r="H294" s="33"/>
      <c r="I294" s="33"/>
      <c r="J294" s="33"/>
      <c r="K294" s="34"/>
      <c r="P294" s="26"/>
      <c r="Q294"/>
      <c r="R294" s="15"/>
      <c r="U294" s="4"/>
      <c r="V294" s="5"/>
      <c r="W294" s="17"/>
    </row>
    <row r="295" spans="8:23" x14ac:dyDescent="0.25">
      <c r="H295" s="33"/>
      <c r="I295" s="33"/>
      <c r="J295" s="33"/>
      <c r="K295" s="34"/>
      <c r="P295" s="26"/>
      <c r="Q295"/>
      <c r="R295" s="15"/>
      <c r="U295" s="4"/>
      <c r="V295" s="5"/>
      <c r="W295" s="17"/>
    </row>
    <row r="296" spans="8:23" x14ac:dyDescent="0.25">
      <c r="H296" s="33"/>
      <c r="I296" s="33"/>
      <c r="J296" s="33"/>
      <c r="K296" s="34"/>
      <c r="P296" s="26"/>
      <c r="Q296" s="36"/>
      <c r="R296" s="15"/>
      <c r="U296" s="4"/>
      <c r="V296" s="5"/>
      <c r="W296" s="17"/>
    </row>
    <row r="297" spans="8:23" x14ac:dyDescent="0.25">
      <c r="H297" s="33"/>
      <c r="I297" s="33"/>
      <c r="J297" s="33"/>
      <c r="P297" s="26"/>
      <c r="Q297"/>
      <c r="R297" s="15"/>
      <c r="U297" s="4"/>
      <c r="V297" s="5"/>
      <c r="W297" s="17"/>
    </row>
    <row r="298" spans="8:23" x14ac:dyDescent="0.25">
      <c r="H298" s="33"/>
      <c r="I298" s="33"/>
      <c r="J298" s="33"/>
      <c r="P298" s="26"/>
      <c r="Q298" s="35"/>
      <c r="R298" s="15"/>
      <c r="U298" s="4"/>
      <c r="V298" s="5"/>
      <c r="W298" s="17"/>
    </row>
    <row r="299" spans="8:23" x14ac:dyDescent="0.25">
      <c r="H299" s="33"/>
      <c r="I299" s="33"/>
      <c r="J299" s="33"/>
      <c r="K299" s="34"/>
      <c r="P299" s="26"/>
      <c r="Q299"/>
      <c r="R299" s="15"/>
      <c r="U299" s="4"/>
      <c r="V299" s="5"/>
      <c r="W299" s="17"/>
    </row>
    <row r="300" spans="8:23" x14ac:dyDescent="0.25">
      <c r="H300" s="33"/>
      <c r="I300" s="33"/>
      <c r="J300" s="33"/>
      <c r="K300" s="34"/>
      <c r="P300" s="26"/>
      <c r="Q300" s="35"/>
      <c r="R300" s="15"/>
      <c r="U300" s="4"/>
      <c r="V300" s="5"/>
      <c r="W300" s="17"/>
    </row>
    <row r="301" spans="8:23" x14ac:dyDescent="0.25">
      <c r="H301" s="33"/>
      <c r="I301" s="33"/>
      <c r="J301" s="33"/>
      <c r="K301" s="34"/>
      <c r="P301" s="26"/>
      <c r="Q301" s="35"/>
      <c r="R301" s="15"/>
      <c r="U301" s="4"/>
      <c r="V301" s="5"/>
      <c r="W301" s="17"/>
    </row>
    <row r="302" spans="8:23" x14ac:dyDescent="0.25">
      <c r="H302" s="33"/>
      <c r="I302" s="33"/>
      <c r="J302" s="33"/>
      <c r="K302" s="37"/>
      <c r="P302" s="26"/>
      <c r="Q302" s="35"/>
      <c r="R302" s="15"/>
      <c r="U302" s="4"/>
      <c r="V302" s="5"/>
      <c r="W302" s="17"/>
    </row>
    <row r="303" spans="8:23" x14ac:dyDescent="0.25">
      <c r="H303" s="33"/>
      <c r="I303" s="33"/>
      <c r="J303" s="33"/>
      <c r="K303" s="37"/>
      <c r="P303" s="26"/>
      <c r="Q303" s="35"/>
      <c r="R303" s="15"/>
      <c r="U303" s="4"/>
      <c r="V303" s="5"/>
      <c r="W303" s="17"/>
    </row>
    <row r="304" spans="8:23" x14ac:dyDescent="0.25">
      <c r="H304" s="33"/>
      <c r="I304" s="33"/>
      <c r="J304" s="33"/>
      <c r="K304" s="37"/>
      <c r="P304" s="26"/>
      <c r="Q304" s="35"/>
      <c r="R304" s="15"/>
      <c r="U304" s="4"/>
      <c r="V304" s="5"/>
      <c r="W304" s="17"/>
    </row>
    <row r="305" spans="8:23" x14ac:dyDescent="0.25">
      <c r="H305" s="33"/>
      <c r="I305" s="33"/>
      <c r="J305" s="33"/>
      <c r="K305" s="37"/>
      <c r="P305" s="26"/>
      <c r="Q305" s="38"/>
      <c r="R305" s="15"/>
      <c r="U305" s="4"/>
      <c r="V305" s="5"/>
      <c r="W305" s="17"/>
    </row>
    <row r="306" spans="8:23" x14ac:dyDescent="0.25">
      <c r="H306" s="33"/>
      <c r="I306" s="33"/>
      <c r="J306" s="33"/>
      <c r="P306" s="26"/>
      <c r="Q306" s="35"/>
      <c r="R306" s="15"/>
      <c r="U306" s="4"/>
      <c r="V306" s="5"/>
      <c r="W306" s="17"/>
    </row>
    <row r="307" spans="8:23" x14ac:dyDescent="0.25">
      <c r="H307" s="33"/>
      <c r="I307" s="33"/>
      <c r="J307" s="33"/>
      <c r="K307" s="37"/>
      <c r="P307" s="26"/>
      <c r="Q307"/>
      <c r="R307" s="15"/>
      <c r="U307" s="4"/>
      <c r="V307" s="5"/>
      <c r="W307" s="17"/>
    </row>
    <row r="308" spans="8:23" x14ac:dyDescent="0.25">
      <c r="H308" s="33"/>
      <c r="I308" s="33"/>
      <c r="J308" s="33"/>
      <c r="K308" s="37"/>
      <c r="P308" s="26"/>
      <c r="Q308"/>
      <c r="R308" s="15"/>
      <c r="U308" s="4"/>
      <c r="V308" s="5"/>
      <c r="W308" s="17"/>
    </row>
    <row r="309" spans="8:23" x14ac:dyDescent="0.25">
      <c r="H309" s="33"/>
      <c r="I309" s="33"/>
      <c r="J309" s="33"/>
      <c r="K309" s="37"/>
      <c r="P309" s="26"/>
      <c r="Q309"/>
      <c r="R309" s="15"/>
      <c r="U309" s="4"/>
      <c r="V309" s="5"/>
      <c r="W309" s="17"/>
    </row>
    <row r="310" spans="8:23" x14ac:dyDescent="0.25">
      <c r="H310" s="33"/>
      <c r="I310" s="33"/>
      <c r="J310" s="33"/>
      <c r="K310" s="37"/>
      <c r="P310" s="26"/>
      <c r="Q310"/>
      <c r="R310" s="15"/>
      <c r="U310" s="4"/>
      <c r="V310" s="5"/>
      <c r="W310" s="17"/>
    </row>
    <row r="311" spans="8:23" x14ac:dyDescent="0.25">
      <c r="H311" s="33"/>
      <c r="I311" s="33"/>
      <c r="J311" s="33"/>
      <c r="K311" s="37"/>
      <c r="P311" s="26"/>
      <c r="Q311" s="36"/>
      <c r="R311" s="15"/>
      <c r="U311" s="4"/>
      <c r="V311" s="5"/>
      <c r="W311" s="17"/>
    </row>
    <row r="312" spans="8:23" x14ac:dyDescent="0.25">
      <c r="H312" s="33"/>
      <c r="I312" s="33"/>
      <c r="J312" s="33"/>
      <c r="K312" s="37"/>
      <c r="P312" s="26"/>
      <c r="Q312"/>
      <c r="R312" s="15"/>
      <c r="U312" s="4"/>
      <c r="V312" s="5"/>
      <c r="W312" s="17"/>
    </row>
    <row r="313" spans="8:23" x14ac:dyDescent="0.25">
      <c r="H313" s="33"/>
      <c r="I313" s="33"/>
      <c r="J313" s="33"/>
      <c r="K313" s="37"/>
      <c r="P313" s="26"/>
      <c r="Q313"/>
      <c r="R313" s="15"/>
      <c r="U313" s="4"/>
      <c r="V313" s="5"/>
      <c r="W313" s="17"/>
    </row>
    <row r="314" spans="8:23" x14ac:dyDescent="0.25">
      <c r="H314" s="33"/>
      <c r="I314" s="33"/>
      <c r="J314" s="33"/>
      <c r="K314" s="37"/>
      <c r="P314" s="26"/>
      <c r="Q314"/>
      <c r="R314" s="15"/>
      <c r="U314" s="4"/>
      <c r="V314" s="5"/>
      <c r="W314" s="17"/>
    </row>
    <row r="315" spans="8:23" x14ac:dyDescent="0.25">
      <c r="H315" s="33"/>
      <c r="I315" s="33"/>
      <c r="J315" s="33"/>
      <c r="K315" s="37"/>
      <c r="P315" s="26"/>
      <c r="Q315"/>
      <c r="R315" s="15"/>
      <c r="U315" s="4"/>
      <c r="V315" s="5"/>
      <c r="W315" s="17"/>
    </row>
    <row r="316" spans="8:23" x14ac:dyDescent="0.25">
      <c r="H316" s="33"/>
      <c r="I316" s="33"/>
      <c r="J316" s="33"/>
      <c r="K316" s="37"/>
      <c r="P316" s="26"/>
      <c r="Q316"/>
      <c r="R316" s="15"/>
      <c r="U316" s="4"/>
      <c r="V316" s="5"/>
      <c r="W316" s="17"/>
    </row>
    <row r="317" spans="8:23" x14ac:dyDescent="0.25">
      <c r="H317" s="33"/>
      <c r="I317" s="33"/>
      <c r="J317" s="33"/>
      <c r="P317" s="5"/>
      <c r="Q317"/>
      <c r="R317" s="15"/>
      <c r="U317" s="4"/>
      <c r="V317" s="5"/>
      <c r="W317" s="17"/>
    </row>
    <row r="318" spans="8:23" x14ac:dyDescent="0.25">
      <c r="H318" s="33"/>
      <c r="I318" s="33"/>
      <c r="J318" s="33"/>
      <c r="P318" s="5"/>
      <c r="Q318"/>
      <c r="R318" s="15"/>
      <c r="U318" s="4"/>
      <c r="V318" s="5"/>
      <c r="W318" s="17"/>
    </row>
    <row r="319" spans="8:23" x14ac:dyDescent="0.25">
      <c r="H319" s="33"/>
      <c r="I319" s="33"/>
      <c r="J319" s="33"/>
      <c r="K319" s="37"/>
      <c r="P319" s="5"/>
      <c r="Q319"/>
      <c r="R319" s="15"/>
      <c r="U319" s="4"/>
      <c r="V319" s="5"/>
      <c r="W319" s="17"/>
    </row>
    <row r="320" spans="8:23" x14ac:dyDescent="0.25">
      <c r="H320" s="33"/>
      <c r="I320" s="33"/>
      <c r="J320" s="33"/>
      <c r="K320" s="37"/>
      <c r="P320" s="5"/>
      <c r="Q320"/>
      <c r="R320" s="15"/>
      <c r="U320" s="4"/>
      <c r="V320" s="5"/>
      <c r="W320" s="17"/>
    </row>
    <row r="321" spans="8:23" x14ac:dyDescent="0.25">
      <c r="H321" s="33"/>
      <c r="I321" s="33"/>
      <c r="J321" s="33"/>
      <c r="K321" s="37"/>
      <c r="P321" s="5"/>
      <c r="Q321"/>
      <c r="R321" s="15"/>
      <c r="U321" s="4"/>
      <c r="V321" s="5"/>
      <c r="W321" s="17"/>
    </row>
    <row r="322" spans="8:23" x14ac:dyDescent="0.25">
      <c r="H322" s="33"/>
      <c r="I322" s="33"/>
      <c r="J322" s="33"/>
      <c r="K322" s="37"/>
      <c r="P322" s="5"/>
      <c r="Q322"/>
      <c r="R322" s="15"/>
      <c r="U322" s="4"/>
      <c r="V322" s="5"/>
      <c r="W322" s="17"/>
    </row>
    <row r="323" spans="8:23" x14ac:dyDescent="0.25">
      <c r="H323" s="33"/>
      <c r="I323" s="33"/>
      <c r="J323" s="33"/>
      <c r="K323" s="37"/>
      <c r="P323" s="5"/>
      <c r="Q323"/>
      <c r="R323" s="15"/>
      <c r="U323" s="4"/>
      <c r="V323" s="5"/>
      <c r="W323" s="17"/>
    </row>
    <row r="324" spans="8:23" x14ac:dyDescent="0.25">
      <c r="H324" s="33"/>
      <c r="I324" s="33"/>
      <c r="J324" s="33"/>
      <c r="K324" s="37"/>
      <c r="P324" s="5"/>
      <c r="Q324"/>
      <c r="R324" s="15"/>
      <c r="U324" s="4"/>
      <c r="V324" s="5"/>
      <c r="W324" s="17"/>
    </row>
    <row r="325" spans="8:23" x14ac:dyDescent="0.25">
      <c r="H325" s="33"/>
      <c r="I325" s="33"/>
      <c r="J325" s="33"/>
      <c r="K325" s="37"/>
      <c r="P325" s="5"/>
      <c r="Q325"/>
      <c r="R325" s="15"/>
      <c r="U325" s="4"/>
      <c r="V325" s="5"/>
      <c r="W325" s="17"/>
    </row>
    <row r="326" spans="8:23" x14ac:dyDescent="0.25">
      <c r="H326" s="33"/>
      <c r="I326" s="33"/>
      <c r="J326" s="33"/>
      <c r="K326" s="37"/>
      <c r="P326" s="5"/>
      <c r="Q326"/>
      <c r="R326" s="15"/>
      <c r="U326" s="4"/>
      <c r="V326" s="5"/>
      <c r="W326" s="17"/>
    </row>
    <row r="327" spans="8:23" x14ac:dyDescent="0.25">
      <c r="H327" s="33"/>
      <c r="I327" s="33"/>
      <c r="J327" s="33"/>
      <c r="K327" s="37"/>
      <c r="P327" s="5"/>
      <c r="Q327"/>
      <c r="R327" s="15"/>
      <c r="U327" s="4"/>
      <c r="V327" s="5"/>
      <c r="W327" s="17"/>
    </row>
    <row r="328" spans="8:23" x14ac:dyDescent="0.25">
      <c r="H328" s="33"/>
      <c r="I328" s="33"/>
      <c r="J328" s="33"/>
      <c r="K328" s="37"/>
      <c r="P328" s="5"/>
      <c r="Q328"/>
      <c r="R328" s="15"/>
      <c r="U328" s="4"/>
      <c r="V328" s="5"/>
      <c r="W328" s="17"/>
    </row>
    <row r="329" spans="8:23" x14ac:dyDescent="0.25">
      <c r="H329" s="33"/>
      <c r="I329" s="33"/>
      <c r="J329" s="33"/>
      <c r="K329" s="37"/>
      <c r="P329" s="5"/>
      <c r="Q329"/>
      <c r="R329" s="15"/>
      <c r="U329" s="4"/>
      <c r="V329" s="5"/>
      <c r="W329" s="17"/>
    </row>
    <row r="330" spans="8:23" x14ac:dyDescent="0.25">
      <c r="H330" s="33"/>
      <c r="I330" s="33"/>
      <c r="J330" s="33"/>
      <c r="K330" s="37"/>
      <c r="P330" s="5"/>
      <c r="Q330"/>
      <c r="R330" s="15"/>
      <c r="U330" s="4"/>
      <c r="V330" s="5"/>
      <c r="W330" s="17"/>
    </row>
    <row r="331" spans="8:23" x14ac:dyDescent="0.25">
      <c r="H331" s="33"/>
      <c r="I331" s="33"/>
      <c r="J331" s="33"/>
      <c r="K331" s="37"/>
      <c r="P331" s="5"/>
      <c r="Q331"/>
      <c r="R331" s="15"/>
      <c r="U331" s="4"/>
      <c r="V331" s="5"/>
      <c r="W331" s="17"/>
    </row>
    <row r="332" spans="8:23" x14ac:dyDescent="0.25">
      <c r="H332" s="33"/>
      <c r="I332" s="33"/>
      <c r="J332" s="33"/>
      <c r="P332" s="5"/>
      <c r="Q332"/>
      <c r="R332" s="15"/>
      <c r="U332" s="4"/>
      <c r="V332" s="5"/>
      <c r="W332" s="17"/>
    </row>
    <row r="333" spans="8:23" x14ac:dyDescent="0.25">
      <c r="H333" s="33"/>
      <c r="I333" s="33"/>
      <c r="J333" s="33"/>
      <c r="P333" s="5"/>
      <c r="Q333"/>
      <c r="R333" s="15"/>
      <c r="U333" s="4"/>
      <c r="V333" s="5"/>
      <c r="W333" s="17"/>
    </row>
    <row r="334" spans="8:23" x14ac:dyDescent="0.25">
      <c r="H334" s="33"/>
      <c r="I334" s="33"/>
      <c r="J334" s="33"/>
      <c r="K334" s="37"/>
      <c r="P334" s="5"/>
      <c r="Q334" s="35"/>
      <c r="R334" s="15"/>
      <c r="U334" s="4"/>
      <c r="V334" s="5"/>
      <c r="W334" s="17"/>
    </row>
    <row r="335" spans="8:23" x14ac:dyDescent="0.25">
      <c r="H335" s="33"/>
      <c r="I335" s="33"/>
      <c r="J335" s="33"/>
      <c r="K335" s="37"/>
      <c r="P335" s="5"/>
      <c r="Q335" s="35"/>
      <c r="R335" s="15"/>
      <c r="U335" s="4"/>
      <c r="V335" s="5"/>
      <c r="W335" s="17"/>
    </row>
    <row r="336" spans="8:23" x14ac:dyDescent="0.25">
      <c r="H336" s="33"/>
      <c r="I336" s="33"/>
      <c r="J336" s="33"/>
      <c r="K336" s="37"/>
      <c r="P336" s="5"/>
      <c r="Q336" s="35"/>
      <c r="R336" s="15"/>
      <c r="U336" s="4"/>
      <c r="V336" s="5"/>
      <c r="W336" s="17"/>
    </row>
    <row r="337" spans="8:23" x14ac:dyDescent="0.25">
      <c r="H337" s="33"/>
      <c r="I337" s="33"/>
      <c r="J337" s="33"/>
      <c r="K337" s="37"/>
      <c r="P337" s="5"/>
      <c r="Q337" s="35"/>
      <c r="R337" s="15"/>
      <c r="U337" s="4"/>
      <c r="V337" s="5"/>
      <c r="W337" s="17"/>
    </row>
    <row r="338" spans="8:23" x14ac:dyDescent="0.25">
      <c r="H338" s="33"/>
      <c r="I338" s="33"/>
      <c r="J338" s="33"/>
      <c r="K338" s="37"/>
      <c r="P338" s="5"/>
      <c r="Q338" s="35"/>
      <c r="R338" s="15"/>
      <c r="U338" s="4"/>
      <c r="V338" s="5"/>
      <c r="W338" s="17"/>
    </row>
    <row r="339" spans="8:23" x14ac:dyDescent="0.25">
      <c r="H339" s="33"/>
      <c r="I339" s="33"/>
      <c r="J339" s="33"/>
      <c r="K339" s="37"/>
      <c r="P339" s="5"/>
      <c r="Q339" s="35"/>
      <c r="R339" s="15"/>
      <c r="U339" s="4"/>
      <c r="V339" s="5"/>
      <c r="W339" s="17"/>
    </row>
    <row r="340" spans="8:23" x14ac:dyDescent="0.25">
      <c r="H340" s="33"/>
      <c r="I340" s="33"/>
      <c r="J340" s="33"/>
      <c r="K340" s="37"/>
      <c r="P340" s="5"/>
      <c r="Q340" s="35"/>
      <c r="R340" s="15"/>
      <c r="U340" s="4"/>
      <c r="V340" s="5"/>
      <c r="W340" s="17"/>
    </row>
    <row r="341" spans="8:23" x14ac:dyDescent="0.25">
      <c r="H341" s="33"/>
      <c r="I341" s="33"/>
      <c r="J341" s="33"/>
      <c r="K341" s="37"/>
      <c r="P341" s="5"/>
      <c r="Q341" s="35"/>
      <c r="R341" s="15"/>
      <c r="U341" s="4"/>
      <c r="V341" s="5"/>
      <c r="W341" s="17"/>
    </row>
    <row r="342" spans="8:23" x14ac:dyDescent="0.25">
      <c r="H342" s="33"/>
      <c r="I342" s="33"/>
      <c r="J342" s="33"/>
      <c r="K342" s="37"/>
      <c r="P342" s="5"/>
      <c r="Q342" s="35"/>
      <c r="R342" s="15"/>
      <c r="U342" s="4"/>
      <c r="V342" s="5"/>
      <c r="W342" s="17"/>
    </row>
    <row r="343" spans="8:23" x14ac:dyDescent="0.25">
      <c r="H343" s="33"/>
      <c r="I343" s="33"/>
      <c r="J343" s="33"/>
      <c r="P343" s="5"/>
      <c r="Q343"/>
      <c r="R343" s="15"/>
      <c r="U343" s="4"/>
      <c r="V343" s="5"/>
      <c r="W343" s="17"/>
    </row>
    <row r="344" spans="8:23" x14ac:dyDescent="0.25">
      <c r="H344" s="33"/>
      <c r="I344" s="33"/>
      <c r="J344" s="33"/>
      <c r="P344" s="5"/>
      <c r="Q344"/>
      <c r="R344" s="15"/>
      <c r="U344" s="4"/>
      <c r="V344" s="5"/>
      <c r="W344" s="17"/>
    </row>
    <row r="345" spans="8:23" x14ac:dyDescent="0.25">
      <c r="R345" s="15"/>
      <c r="U345" s="4"/>
      <c r="V345" s="5"/>
      <c r="W345" s="17"/>
    </row>
    <row r="346" spans="8:23" x14ac:dyDescent="0.25">
      <c r="K346" s="42"/>
      <c r="P346" s="5"/>
      <c r="Q346" s="5"/>
      <c r="R346" s="15"/>
      <c r="U346" s="4"/>
      <c r="V346" s="5"/>
      <c r="W346" s="17"/>
    </row>
    <row r="347" spans="8:23" x14ac:dyDescent="0.25">
      <c r="K347" s="42"/>
      <c r="P347" s="5"/>
      <c r="Q347" s="5"/>
      <c r="R347" s="15"/>
      <c r="U347" s="4"/>
      <c r="V347" s="5"/>
      <c r="W347" s="17"/>
    </row>
    <row r="348" spans="8:23" x14ac:dyDescent="0.25">
      <c r="K348" s="42"/>
      <c r="P348" s="5"/>
      <c r="Q348" s="5"/>
      <c r="R348" s="15"/>
      <c r="U348" s="4"/>
      <c r="V348" s="5"/>
      <c r="W348" s="17"/>
    </row>
    <row r="349" spans="8:23" x14ac:dyDescent="0.25">
      <c r="K349" s="42"/>
      <c r="P349" s="5"/>
      <c r="Q349" s="5"/>
      <c r="R349" s="15"/>
      <c r="U349" s="4"/>
      <c r="V349" s="5"/>
      <c r="W349" s="17"/>
    </row>
    <row r="350" spans="8:23" x14ac:dyDescent="0.25">
      <c r="K350" s="42"/>
      <c r="P350" s="5"/>
      <c r="Q350" s="5"/>
      <c r="R350" s="15"/>
      <c r="U350" s="4"/>
      <c r="V350" s="5"/>
      <c r="W350" s="17"/>
    </row>
    <row r="351" spans="8:23" x14ac:dyDescent="0.25">
      <c r="K351" s="42"/>
      <c r="P351" s="5"/>
      <c r="Q351" s="5"/>
      <c r="R351" s="15"/>
      <c r="U351" s="4"/>
      <c r="V351" s="5"/>
      <c r="W351" s="17"/>
    </row>
    <row r="352" spans="8:23" x14ac:dyDescent="0.25">
      <c r="K352" s="42"/>
      <c r="P352" s="5"/>
      <c r="Q352" s="5"/>
      <c r="R352" s="15"/>
      <c r="U352" s="4"/>
      <c r="V352" s="5"/>
      <c r="W352" s="17"/>
    </row>
    <row r="353" spans="11:23" x14ac:dyDescent="0.25">
      <c r="K353" s="42"/>
      <c r="P353" s="5"/>
      <c r="Q353" s="5"/>
      <c r="R353" s="15"/>
      <c r="U353" s="4"/>
      <c r="V353" s="5"/>
      <c r="W353" s="17"/>
    </row>
    <row r="354" spans="11:23" x14ac:dyDescent="0.25">
      <c r="K354" s="42"/>
      <c r="P354" s="5"/>
      <c r="Q354" s="5"/>
      <c r="R354" s="15"/>
      <c r="U354" s="4"/>
      <c r="V354" s="5"/>
      <c r="W354" s="17"/>
    </row>
    <row r="355" spans="11:23" x14ac:dyDescent="0.25">
      <c r="K355" s="42"/>
      <c r="P355" s="5"/>
      <c r="Q355" s="5"/>
      <c r="R355" s="15"/>
      <c r="U355" s="4"/>
      <c r="V355" s="5"/>
      <c r="W355" s="17"/>
    </row>
    <row r="356" spans="11:23" x14ac:dyDescent="0.25">
      <c r="K356" s="42"/>
      <c r="P356" s="5"/>
      <c r="Q356" s="5"/>
      <c r="R356" s="15"/>
      <c r="U356" s="4"/>
      <c r="V356" s="5"/>
      <c r="W356" s="17"/>
    </row>
    <row r="357" spans="11:23" x14ac:dyDescent="0.25">
      <c r="K357" s="42"/>
      <c r="P357" s="5"/>
      <c r="Q357" s="5"/>
      <c r="R357" s="15"/>
      <c r="U357" s="4"/>
      <c r="V357" s="5"/>
      <c r="W357" s="17"/>
    </row>
    <row r="358" spans="11:23" x14ac:dyDescent="0.25">
      <c r="K358" s="42"/>
      <c r="P358" s="5"/>
      <c r="Q358" s="5"/>
      <c r="R358" s="15"/>
      <c r="U358" s="4"/>
      <c r="V358" s="5"/>
      <c r="W358" s="17"/>
    </row>
    <row r="359" spans="11:23" x14ac:dyDescent="0.25">
      <c r="K359" s="42"/>
      <c r="P359" s="5"/>
      <c r="Q359" s="5"/>
      <c r="R359" s="15"/>
      <c r="U359" s="4"/>
      <c r="V359" s="5"/>
      <c r="W359" s="17"/>
    </row>
    <row r="360" spans="11:23" x14ac:dyDescent="0.25">
      <c r="K360" s="42"/>
      <c r="O360" s="5"/>
      <c r="P360" s="5"/>
      <c r="Q360" s="5"/>
      <c r="R360" s="15"/>
      <c r="U360" s="4"/>
      <c r="V360" s="5"/>
      <c r="W360" s="17"/>
    </row>
    <row r="361" spans="11:23" x14ac:dyDescent="0.25">
      <c r="K361" s="42"/>
      <c r="O361" s="5"/>
      <c r="P361" s="5"/>
      <c r="Q361" s="5"/>
      <c r="R361" s="15"/>
      <c r="U361" s="4"/>
      <c r="V361" s="5"/>
      <c r="W361" s="17"/>
    </row>
    <row r="362" spans="11:23" x14ac:dyDescent="0.25">
      <c r="K362" s="42"/>
      <c r="O362" s="5"/>
      <c r="P362" s="5"/>
      <c r="Q362" s="5"/>
      <c r="R362" s="15"/>
      <c r="U362" s="4"/>
      <c r="V362" s="5"/>
      <c r="W362" s="17"/>
    </row>
    <row r="363" spans="11:23" x14ac:dyDescent="0.25">
      <c r="K363" s="42"/>
      <c r="O363" s="5"/>
      <c r="P363" s="5"/>
      <c r="Q363" s="5"/>
      <c r="R363" s="15"/>
      <c r="U363" s="4"/>
      <c r="V363" s="5"/>
      <c r="W363" s="17"/>
    </row>
    <row r="364" spans="11:23" x14ac:dyDescent="0.25">
      <c r="K364" s="42"/>
      <c r="O364" s="5"/>
      <c r="P364" s="5"/>
      <c r="Q364" s="5"/>
      <c r="R364" s="15"/>
      <c r="U364" s="4"/>
      <c r="V364" s="5"/>
      <c r="W364" s="17"/>
    </row>
    <row r="365" spans="11:23" x14ac:dyDescent="0.25">
      <c r="K365" s="42"/>
      <c r="O365" s="5"/>
      <c r="P365" s="5"/>
      <c r="Q365" s="5"/>
      <c r="R365" s="15"/>
      <c r="U365" s="4"/>
      <c r="V365" s="5"/>
      <c r="W365" s="17"/>
    </row>
    <row r="366" spans="11:23" x14ac:dyDescent="0.25">
      <c r="K366" s="42"/>
      <c r="O366" s="5"/>
      <c r="P366" s="5"/>
      <c r="Q366" s="5"/>
      <c r="R366" s="15"/>
      <c r="U366" s="4"/>
      <c r="V366" s="5"/>
      <c r="W366" s="17"/>
    </row>
    <row r="367" spans="11:23" x14ac:dyDescent="0.25">
      <c r="O367" s="5"/>
      <c r="P367" s="5"/>
      <c r="Q367" s="5"/>
      <c r="R367" s="15"/>
      <c r="U367" s="4"/>
      <c r="V367" s="5"/>
      <c r="W367" s="17"/>
    </row>
    <row r="368" spans="11:23" x14ac:dyDescent="0.25">
      <c r="K368" s="42"/>
      <c r="O368" s="5"/>
      <c r="P368" s="5"/>
      <c r="Q368" s="5"/>
      <c r="R368" s="15"/>
      <c r="U368" s="4"/>
      <c r="V368" s="5"/>
      <c r="W368" s="17"/>
    </row>
    <row r="369" spans="11:23" x14ac:dyDescent="0.25">
      <c r="K369" s="42"/>
      <c r="O369" s="5"/>
      <c r="P369" s="5"/>
      <c r="Q369" s="5"/>
      <c r="R369" s="15"/>
      <c r="U369" s="4"/>
      <c r="V369" s="5"/>
      <c r="W369" s="17"/>
    </row>
    <row r="370" spans="11:23" x14ac:dyDescent="0.25">
      <c r="K370" s="42"/>
      <c r="O370" s="5"/>
      <c r="P370" s="5"/>
      <c r="Q370" s="5"/>
      <c r="R370" s="15"/>
      <c r="U370" s="4"/>
      <c r="V370" s="5"/>
      <c r="W370" s="17"/>
    </row>
    <row r="371" spans="11:23" x14ac:dyDescent="0.25">
      <c r="K371" s="42"/>
      <c r="O371" s="5"/>
      <c r="P371" s="5"/>
      <c r="Q371" s="5"/>
      <c r="R371" s="15"/>
      <c r="U371" s="4"/>
      <c r="V371" s="5"/>
      <c r="W371" s="17"/>
    </row>
    <row r="372" spans="11:23" x14ac:dyDescent="0.25">
      <c r="K372" s="42"/>
      <c r="O372" s="5"/>
      <c r="Q372" s="5"/>
      <c r="R372" s="15"/>
      <c r="U372" s="4"/>
      <c r="V372" s="5"/>
      <c r="W372" s="17"/>
    </row>
    <row r="373" spans="11:23" x14ac:dyDescent="0.25">
      <c r="K373" s="42"/>
      <c r="O373" s="5"/>
      <c r="Q373" s="5"/>
      <c r="R373" s="15"/>
      <c r="U373" s="4"/>
      <c r="V373" s="5"/>
      <c r="W373" s="17"/>
    </row>
    <row r="374" spans="11:23" x14ac:dyDescent="0.25">
      <c r="K374" s="42"/>
      <c r="O374" s="5"/>
      <c r="Q374" s="5"/>
      <c r="R374" s="15"/>
      <c r="U374" s="4"/>
      <c r="V374" s="5"/>
      <c r="W374" s="17"/>
    </row>
    <row r="375" spans="11:23" x14ac:dyDescent="0.25">
      <c r="K375" s="42"/>
      <c r="O375" s="5"/>
      <c r="Q375" s="5"/>
      <c r="R375" s="15"/>
      <c r="U375" s="4"/>
      <c r="V375" s="5"/>
      <c r="W375" s="17"/>
    </row>
    <row r="376" spans="11:23" x14ac:dyDescent="0.25">
      <c r="K376" s="42"/>
      <c r="O376" s="5"/>
      <c r="Q376" s="5"/>
      <c r="R376" s="15"/>
      <c r="U376" s="4"/>
      <c r="V376" s="5"/>
      <c r="W376" s="17"/>
    </row>
    <row r="377" spans="11:23" x14ac:dyDescent="0.25">
      <c r="K377" s="42"/>
      <c r="O377" s="5"/>
      <c r="Q377" s="5"/>
      <c r="R377" s="15"/>
      <c r="U377" s="4"/>
      <c r="V377" s="5"/>
      <c r="W377" s="17"/>
    </row>
    <row r="378" spans="11:23" x14ac:dyDescent="0.25">
      <c r="K378" s="42"/>
      <c r="O378" s="5"/>
      <c r="Q378" s="5"/>
      <c r="R378" s="15"/>
      <c r="U378" s="4"/>
      <c r="V378" s="5"/>
      <c r="W378" s="17"/>
    </row>
    <row r="379" spans="11:23" x14ac:dyDescent="0.25">
      <c r="K379" s="42"/>
      <c r="O379" s="5"/>
      <c r="Q379" s="5"/>
      <c r="R379" s="15"/>
      <c r="U379" s="4"/>
      <c r="V379" s="5"/>
      <c r="W379" s="17"/>
    </row>
    <row r="380" spans="11:23" x14ac:dyDescent="0.25">
      <c r="K380" s="42"/>
      <c r="O380" s="5"/>
      <c r="Q380" s="5"/>
      <c r="R380" s="15"/>
      <c r="U380" s="4"/>
      <c r="V380" s="5"/>
      <c r="W380" s="17"/>
    </row>
    <row r="381" spans="11:23" x14ac:dyDescent="0.25">
      <c r="K381" s="42"/>
      <c r="O381" s="5"/>
      <c r="Q381" s="5"/>
      <c r="R381" s="15"/>
      <c r="U381" s="4"/>
      <c r="V381" s="5"/>
      <c r="W381" s="17"/>
    </row>
    <row r="382" spans="11:23" x14ac:dyDescent="0.25">
      <c r="K382" s="42"/>
      <c r="O382" s="5"/>
      <c r="Q382" s="5"/>
      <c r="R382" s="15"/>
      <c r="U382" s="4"/>
      <c r="V382" s="5"/>
      <c r="W382" s="17"/>
    </row>
    <row r="383" spans="11:23" x14ac:dyDescent="0.25">
      <c r="K383" s="42"/>
      <c r="O383" s="5"/>
      <c r="Q383" s="5"/>
      <c r="R383" s="15"/>
      <c r="U383" s="4"/>
      <c r="V383" s="5"/>
      <c r="W383" s="17"/>
    </row>
    <row r="384" spans="11:23" x14ac:dyDescent="0.25">
      <c r="K384" s="42"/>
      <c r="O384" s="5"/>
      <c r="Q384" s="5"/>
      <c r="R384" s="15"/>
      <c r="U384" s="4"/>
      <c r="V384" s="5"/>
      <c r="W384" s="17"/>
    </row>
    <row r="385" spans="11:23" x14ac:dyDescent="0.25">
      <c r="K385" s="42"/>
      <c r="O385" s="5"/>
      <c r="Q385" s="5"/>
      <c r="R385" s="15"/>
      <c r="U385" s="4"/>
      <c r="V385" s="5"/>
      <c r="W385" s="17"/>
    </row>
    <row r="386" spans="11:23" x14ac:dyDescent="0.25">
      <c r="K386" s="42"/>
      <c r="O386" s="5"/>
      <c r="Q386" s="5"/>
      <c r="R386" s="15"/>
      <c r="U386" s="4"/>
      <c r="V386" s="5"/>
      <c r="W386" s="17"/>
    </row>
    <row r="387" spans="11:23" x14ac:dyDescent="0.25">
      <c r="K387" s="42"/>
      <c r="O387" s="5"/>
      <c r="Q387" s="5"/>
      <c r="R387" s="15"/>
      <c r="U387" s="4"/>
      <c r="V387" s="5"/>
      <c r="W387" s="17"/>
    </row>
    <row r="388" spans="11:23" x14ac:dyDescent="0.25">
      <c r="K388" s="42"/>
      <c r="O388" s="5"/>
      <c r="Q388" s="5"/>
      <c r="R388" s="15"/>
      <c r="U388" s="4"/>
      <c r="V388" s="5"/>
      <c r="W388" s="17"/>
    </row>
    <row r="389" spans="11:23" x14ac:dyDescent="0.25">
      <c r="K389" s="42"/>
      <c r="O389" s="5"/>
      <c r="Q389" s="5"/>
      <c r="R389" s="15"/>
      <c r="U389" s="4"/>
      <c r="V389" s="5"/>
      <c r="W389" s="17"/>
    </row>
    <row r="390" spans="11:23" x14ac:dyDescent="0.25">
      <c r="K390" s="42"/>
      <c r="O390" s="5"/>
      <c r="Q390" s="5"/>
      <c r="R390" s="15"/>
      <c r="U390" s="4"/>
      <c r="V390" s="5"/>
      <c r="W390" s="17"/>
    </row>
    <row r="391" spans="11:23" x14ac:dyDescent="0.25">
      <c r="K391" s="42"/>
      <c r="O391" s="5"/>
      <c r="Q391" s="5"/>
      <c r="R391" s="15"/>
      <c r="U391" s="4"/>
      <c r="V391" s="5"/>
      <c r="W391" s="17"/>
    </row>
    <row r="392" spans="11:23" x14ac:dyDescent="0.25">
      <c r="K392" s="42"/>
      <c r="O392" s="5"/>
      <c r="Q392" s="5"/>
      <c r="R392" s="15"/>
      <c r="U392" s="4"/>
      <c r="V392" s="5"/>
      <c r="W392" s="17"/>
    </row>
    <row r="393" spans="11:23" x14ac:dyDescent="0.25">
      <c r="K393" s="42"/>
      <c r="O393" s="5"/>
      <c r="Q393" s="5"/>
      <c r="R393" s="15"/>
      <c r="U393" s="4"/>
      <c r="V393" s="5"/>
      <c r="W393" s="17"/>
    </row>
    <row r="394" spans="11:23" x14ac:dyDescent="0.25">
      <c r="K394" s="42"/>
      <c r="O394" s="5"/>
      <c r="Q394" s="5"/>
      <c r="R394" s="15"/>
      <c r="U394" s="4"/>
      <c r="V394" s="5"/>
      <c r="W394" s="17"/>
    </row>
    <row r="395" spans="11:23" x14ac:dyDescent="0.25">
      <c r="K395" s="42"/>
      <c r="O395" s="5"/>
      <c r="Q395" s="5"/>
      <c r="R395" s="15"/>
      <c r="U395" s="4"/>
      <c r="V395" s="5"/>
      <c r="W395" s="17"/>
    </row>
    <row r="396" spans="11:23" x14ac:dyDescent="0.25">
      <c r="K396" s="42"/>
      <c r="O396" s="5"/>
      <c r="Q396" s="5"/>
      <c r="R396" s="15"/>
      <c r="U396" s="4"/>
      <c r="V396" s="5"/>
      <c r="W396" s="17"/>
    </row>
    <row r="397" spans="11:23" x14ac:dyDescent="0.25">
      <c r="K397" s="42"/>
      <c r="O397" s="5"/>
      <c r="Q397" s="5"/>
      <c r="R397" s="15"/>
      <c r="U397" s="4"/>
      <c r="V397" s="5"/>
      <c r="W397" s="17"/>
    </row>
    <row r="398" spans="11:23" x14ac:dyDescent="0.25">
      <c r="K398" s="42"/>
      <c r="O398" s="5"/>
      <c r="Q398" s="5"/>
      <c r="R398" s="15"/>
      <c r="U398" s="4"/>
      <c r="V398" s="5"/>
      <c r="W398" s="17"/>
    </row>
    <row r="399" spans="11:23" x14ac:dyDescent="0.25">
      <c r="K399" s="42"/>
      <c r="O399" s="5"/>
      <c r="Q399" s="5"/>
      <c r="R399" s="15"/>
      <c r="U399" s="4"/>
      <c r="V399" s="5"/>
      <c r="W399" s="17"/>
    </row>
    <row r="400" spans="11:23" x14ac:dyDescent="0.25">
      <c r="K400" s="42"/>
      <c r="O400" s="5"/>
      <c r="Q400" s="5"/>
      <c r="R400" s="15"/>
      <c r="U400" s="4"/>
      <c r="V400" s="5"/>
      <c r="W400" s="17"/>
    </row>
    <row r="401" spans="11:23" x14ac:dyDescent="0.25">
      <c r="K401" s="42"/>
      <c r="O401" s="5"/>
      <c r="Q401" s="5"/>
      <c r="R401" s="15"/>
      <c r="U401" s="4"/>
      <c r="V401" s="5"/>
      <c r="W401" s="17"/>
    </row>
    <row r="402" spans="11:23" x14ac:dyDescent="0.25">
      <c r="R402" s="15"/>
      <c r="U402" s="4"/>
      <c r="V402" s="5"/>
      <c r="W402" s="17"/>
    </row>
    <row r="403" spans="11:23" x14ac:dyDescent="0.25">
      <c r="R403" s="15"/>
      <c r="U403" s="4"/>
      <c r="V403" s="5"/>
      <c r="W403" s="17"/>
    </row>
    <row r="404" spans="11:23" x14ac:dyDescent="0.25">
      <c r="R404" s="15"/>
      <c r="U404" s="4"/>
      <c r="V404" s="5"/>
      <c r="W404" s="17"/>
    </row>
    <row r="405" spans="11:23" x14ac:dyDescent="0.25">
      <c r="R405" s="15"/>
      <c r="U405" s="4"/>
      <c r="V405" s="5"/>
      <c r="W405" s="17"/>
    </row>
    <row r="406" spans="11:23" x14ac:dyDescent="0.25">
      <c r="R406" s="15"/>
      <c r="U406" s="4"/>
      <c r="V406" s="5"/>
      <c r="W406" s="17"/>
    </row>
    <row r="407" spans="11:23" x14ac:dyDescent="0.25">
      <c r="R407" s="15"/>
      <c r="U407" s="4"/>
      <c r="V407" s="5"/>
      <c r="W407" s="17"/>
    </row>
    <row r="408" spans="11:23" x14ac:dyDescent="0.25">
      <c r="R408" s="15"/>
      <c r="U408" s="4"/>
      <c r="V408" s="5"/>
      <c r="W408" s="17"/>
    </row>
    <row r="409" spans="11:23" x14ac:dyDescent="0.25">
      <c r="R409" s="15"/>
      <c r="U409" s="4"/>
      <c r="V409" s="5"/>
      <c r="W409" s="17"/>
    </row>
    <row r="410" spans="11:23" x14ac:dyDescent="0.25">
      <c r="R410" s="15"/>
      <c r="U410" s="4"/>
      <c r="V410" s="5"/>
      <c r="W410" s="17"/>
    </row>
    <row r="411" spans="11:23" x14ac:dyDescent="0.25">
      <c r="R411" s="15"/>
      <c r="U411" s="4"/>
      <c r="V411" s="5"/>
      <c r="W411" s="17"/>
    </row>
    <row r="412" spans="11:23" x14ac:dyDescent="0.25">
      <c r="R412" s="15"/>
      <c r="U412" s="4"/>
      <c r="V412" s="5"/>
      <c r="W412" s="17"/>
    </row>
    <row r="413" spans="11:23" x14ac:dyDescent="0.25">
      <c r="R413" s="15"/>
      <c r="U413" s="4"/>
      <c r="V413" s="5"/>
      <c r="W413" s="17"/>
    </row>
    <row r="414" spans="11:23" x14ac:dyDescent="0.25">
      <c r="R414" s="15"/>
      <c r="U414" s="4"/>
      <c r="V414" s="5"/>
      <c r="W414" s="17"/>
    </row>
    <row r="415" spans="11:23" x14ac:dyDescent="0.25">
      <c r="R415" s="15"/>
      <c r="U415" s="4"/>
      <c r="V415" s="5"/>
      <c r="W415" s="17"/>
    </row>
    <row r="416" spans="11:23" x14ac:dyDescent="0.25">
      <c r="R416" s="15"/>
      <c r="U416" s="4"/>
      <c r="V416" s="5"/>
      <c r="W416" s="17"/>
    </row>
    <row r="417" spans="18:23" x14ac:dyDescent="0.25">
      <c r="R417" s="15"/>
      <c r="U417" s="4"/>
      <c r="V417" s="5"/>
      <c r="W417" s="17"/>
    </row>
    <row r="418" spans="18:23" x14ac:dyDescent="0.25">
      <c r="R418" s="15"/>
      <c r="U418" s="4"/>
      <c r="V418" s="5"/>
      <c r="W418" s="17"/>
    </row>
    <row r="419" spans="18:23" x14ac:dyDescent="0.25">
      <c r="R419" s="15"/>
      <c r="U419" s="4"/>
      <c r="V419" s="5"/>
      <c r="W419" s="17"/>
    </row>
    <row r="420" spans="18:23" x14ac:dyDescent="0.25">
      <c r="R420" s="15"/>
      <c r="U420" s="4"/>
      <c r="V420" s="5"/>
      <c r="W420" s="17"/>
    </row>
    <row r="421" spans="18:23" x14ac:dyDescent="0.25">
      <c r="R421" s="15"/>
      <c r="U421" s="4"/>
      <c r="V421" s="5"/>
      <c r="W421" s="17"/>
    </row>
    <row r="422" spans="18:23" x14ac:dyDescent="0.25">
      <c r="R422" s="15"/>
      <c r="U422" s="4"/>
      <c r="V422" s="5"/>
      <c r="W422" s="17"/>
    </row>
    <row r="423" spans="18:23" x14ac:dyDescent="0.25">
      <c r="R423" s="15"/>
      <c r="U423" s="4"/>
      <c r="V423" s="5"/>
      <c r="W423" s="17"/>
    </row>
    <row r="424" spans="18:23" x14ac:dyDescent="0.25">
      <c r="R424" s="15"/>
      <c r="U424" s="4"/>
      <c r="V424" s="5"/>
      <c r="W424" s="17"/>
    </row>
    <row r="425" spans="18:23" x14ac:dyDescent="0.25">
      <c r="R425" s="15"/>
      <c r="U425" s="4"/>
      <c r="V425" s="5"/>
      <c r="W425" s="17"/>
    </row>
    <row r="426" spans="18:23" x14ac:dyDescent="0.25">
      <c r="R426" s="15"/>
      <c r="U426" s="4"/>
      <c r="V426" s="5"/>
      <c r="W426" s="17"/>
    </row>
    <row r="427" spans="18:23" x14ac:dyDescent="0.25">
      <c r="R427" s="15"/>
      <c r="U427" s="4"/>
      <c r="V427" s="5"/>
      <c r="W427" s="17"/>
    </row>
    <row r="428" spans="18:23" x14ac:dyDescent="0.25">
      <c r="R428" s="15"/>
      <c r="U428" s="4"/>
      <c r="V428" s="5"/>
      <c r="W428" s="17"/>
    </row>
    <row r="429" spans="18:23" x14ac:dyDescent="0.25">
      <c r="R429" s="15"/>
      <c r="U429" s="4"/>
      <c r="V429" s="5"/>
      <c r="W429" s="17"/>
    </row>
    <row r="430" spans="18:23" x14ac:dyDescent="0.25">
      <c r="R430" s="15"/>
      <c r="U430" s="4"/>
      <c r="V430" s="5"/>
      <c r="W430" s="17"/>
    </row>
    <row r="431" spans="18:23" x14ac:dyDescent="0.25">
      <c r="R431" s="15"/>
      <c r="U431" s="4"/>
      <c r="V431" s="5"/>
      <c r="W431" s="17"/>
    </row>
    <row r="432" spans="18:23" x14ac:dyDescent="0.25">
      <c r="R432" s="15"/>
      <c r="U432" s="4"/>
      <c r="V432" s="5"/>
      <c r="W432" s="17"/>
    </row>
    <row r="433" spans="18:23" x14ac:dyDescent="0.25">
      <c r="R433" s="15"/>
      <c r="U433" s="4"/>
      <c r="V433" s="5"/>
      <c r="W433" s="17"/>
    </row>
    <row r="434" spans="18:23" x14ac:dyDescent="0.25">
      <c r="R434" s="15"/>
      <c r="U434" s="4"/>
      <c r="V434" s="5"/>
      <c r="W434" s="17"/>
    </row>
    <row r="435" spans="18:23" x14ac:dyDescent="0.25">
      <c r="R435" s="15"/>
      <c r="U435" s="4"/>
      <c r="V435" s="5"/>
      <c r="W435" s="17"/>
    </row>
    <row r="436" spans="18:23" x14ac:dyDescent="0.25">
      <c r="R436" s="15"/>
      <c r="U436" s="4"/>
      <c r="V436" s="5"/>
      <c r="W436" s="17"/>
    </row>
    <row r="437" spans="18:23" x14ac:dyDescent="0.25">
      <c r="R437" s="15"/>
      <c r="U437" s="4"/>
      <c r="V437" s="5"/>
      <c r="W437" s="17"/>
    </row>
    <row r="438" spans="18:23" x14ac:dyDescent="0.25">
      <c r="R438" s="15"/>
      <c r="U438" s="4"/>
      <c r="V438" s="5"/>
      <c r="W438" s="17"/>
    </row>
    <row r="439" spans="18:23" x14ac:dyDescent="0.25">
      <c r="R439" s="15"/>
      <c r="U439" s="4"/>
      <c r="V439" s="5"/>
      <c r="W439" s="17"/>
    </row>
    <row r="440" spans="18:23" x14ac:dyDescent="0.25">
      <c r="R440" s="15"/>
      <c r="U440" s="4"/>
      <c r="V440" s="5"/>
      <c r="W440" s="17"/>
    </row>
    <row r="441" spans="18:23" x14ac:dyDescent="0.25">
      <c r="R441" s="15"/>
      <c r="U441" s="4"/>
      <c r="V441" s="5"/>
      <c r="W441" s="17"/>
    </row>
    <row r="442" spans="18:23" x14ac:dyDescent="0.25">
      <c r="R442" s="15"/>
      <c r="U442" s="4"/>
      <c r="V442" s="5"/>
      <c r="W442" s="17"/>
    </row>
    <row r="443" spans="18:23" x14ac:dyDescent="0.25">
      <c r="R443" s="15"/>
      <c r="U443" s="4"/>
      <c r="V443" s="5"/>
      <c r="W443" s="17"/>
    </row>
    <row r="444" spans="18:23" x14ac:dyDescent="0.25">
      <c r="R444" s="15"/>
      <c r="U444" s="4"/>
      <c r="V444" s="5"/>
      <c r="W444" s="17"/>
    </row>
    <row r="445" spans="18:23" x14ac:dyDescent="0.25">
      <c r="R445" s="15"/>
      <c r="U445" s="4"/>
      <c r="V445" s="5"/>
      <c r="W445" s="17"/>
    </row>
    <row r="446" spans="18:23" x14ac:dyDescent="0.25">
      <c r="R446" s="15"/>
      <c r="U446" s="4"/>
      <c r="V446" s="5"/>
      <c r="W446" s="17"/>
    </row>
    <row r="447" spans="18:23" x14ac:dyDescent="0.25">
      <c r="R447" s="15"/>
      <c r="U447" s="4"/>
      <c r="V447" s="5"/>
      <c r="W447" s="17"/>
    </row>
    <row r="448" spans="18:23" x14ac:dyDescent="0.25">
      <c r="R448" s="15"/>
      <c r="U448" s="4"/>
      <c r="V448" s="5"/>
      <c r="W448" s="17"/>
    </row>
    <row r="449" spans="18:23" x14ac:dyDescent="0.25">
      <c r="R449" s="15"/>
      <c r="U449" s="4"/>
      <c r="V449" s="5"/>
      <c r="W449" s="17"/>
    </row>
    <row r="450" spans="18:23" x14ac:dyDescent="0.25">
      <c r="R450" s="15"/>
      <c r="U450" s="4"/>
      <c r="V450" s="5"/>
      <c r="W450" s="17"/>
    </row>
    <row r="451" spans="18:23" x14ac:dyDescent="0.25">
      <c r="R451" s="15"/>
      <c r="U451" s="4"/>
      <c r="V451" s="5"/>
      <c r="W451" s="17"/>
    </row>
    <row r="452" spans="18:23" x14ac:dyDescent="0.25">
      <c r="R452" s="15"/>
      <c r="U452" s="4"/>
      <c r="V452" s="5"/>
      <c r="W452" s="17"/>
    </row>
    <row r="453" spans="18:23" x14ac:dyDescent="0.25">
      <c r="R453" s="15"/>
      <c r="U453" s="4"/>
      <c r="V453" s="5"/>
      <c r="W453" s="17"/>
    </row>
    <row r="454" spans="18:23" x14ac:dyDescent="0.25">
      <c r="R454" s="15"/>
      <c r="U454" s="4"/>
      <c r="V454" s="5"/>
      <c r="W454" s="17"/>
    </row>
    <row r="455" spans="18:23" x14ac:dyDescent="0.25">
      <c r="R455" s="15"/>
      <c r="U455" s="4"/>
      <c r="V455" s="5"/>
      <c r="W455" s="17"/>
    </row>
    <row r="456" spans="18:23" x14ac:dyDescent="0.25">
      <c r="R456" s="15"/>
      <c r="U456" s="4"/>
      <c r="V456" s="5"/>
      <c r="W456" s="17"/>
    </row>
    <row r="457" spans="18:23" x14ac:dyDescent="0.25">
      <c r="R457" s="15"/>
      <c r="U457" s="4"/>
      <c r="V457" s="5"/>
      <c r="W457" s="17"/>
    </row>
    <row r="458" spans="18:23" x14ac:dyDescent="0.25">
      <c r="R458" s="15"/>
      <c r="U458" s="4"/>
      <c r="V458" s="5"/>
      <c r="W458" s="17"/>
    </row>
    <row r="459" spans="18:23" x14ac:dyDescent="0.25">
      <c r="R459" s="15"/>
      <c r="U459" s="4"/>
      <c r="V459" s="5"/>
      <c r="W459" s="17"/>
    </row>
    <row r="460" spans="18:23" x14ac:dyDescent="0.25">
      <c r="R460" s="15"/>
      <c r="U460" s="4"/>
      <c r="V460" s="5"/>
      <c r="W460" s="17"/>
    </row>
    <row r="461" spans="18:23" x14ac:dyDescent="0.25">
      <c r="R461" s="15"/>
      <c r="U461" s="4"/>
      <c r="V461" s="5"/>
      <c r="W461" s="17"/>
    </row>
    <row r="462" spans="18:23" x14ac:dyDescent="0.25">
      <c r="R462" s="15"/>
      <c r="U462" s="4"/>
      <c r="V462" s="5"/>
      <c r="W462" s="17"/>
    </row>
    <row r="463" spans="18:23" x14ac:dyDescent="0.25">
      <c r="R463" s="15"/>
      <c r="U463" s="4"/>
      <c r="V463" s="5"/>
      <c r="W463" s="17"/>
    </row>
    <row r="464" spans="18:23" x14ac:dyDescent="0.25">
      <c r="R464" s="15"/>
      <c r="U464" s="4"/>
      <c r="V464" s="5"/>
      <c r="W464" s="17"/>
    </row>
    <row r="465" spans="18:23" x14ac:dyDescent="0.25">
      <c r="R465" s="15"/>
      <c r="U465" s="4"/>
      <c r="V465" s="5"/>
      <c r="W465" s="17"/>
    </row>
    <row r="466" spans="18:23" x14ac:dyDescent="0.25">
      <c r="R466" s="15"/>
      <c r="U466" s="4"/>
      <c r="V466" s="5"/>
      <c r="W466" s="17"/>
    </row>
    <row r="467" spans="18:23" x14ac:dyDescent="0.25">
      <c r="R467" s="15"/>
      <c r="U467" s="4"/>
      <c r="V467" s="5"/>
      <c r="W467" s="17"/>
    </row>
    <row r="468" spans="18:23" x14ac:dyDescent="0.25">
      <c r="R468" s="15"/>
      <c r="U468" s="4"/>
      <c r="V468" s="5"/>
      <c r="W468" s="17"/>
    </row>
    <row r="469" spans="18:23" x14ac:dyDescent="0.25">
      <c r="R469" s="15"/>
      <c r="U469" s="4"/>
      <c r="V469" s="5"/>
      <c r="W469" s="17"/>
    </row>
    <row r="470" spans="18:23" x14ac:dyDescent="0.25">
      <c r="R470" s="15"/>
      <c r="U470" s="4"/>
      <c r="V470" s="5"/>
      <c r="W470" s="17"/>
    </row>
    <row r="471" spans="18:23" x14ac:dyDescent="0.25">
      <c r="R471" s="15"/>
      <c r="U471" s="4"/>
      <c r="V471" s="5"/>
      <c r="W471" s="17"/>
    </row>
    <row r="472" spans="18:23" x14ac:dyDescent="0.25">
      <c r="R472" s="15"/>
      <c r="U472" s="4"/>
      <c r="V472" s="5"/>
      <c r="W472" s="17"/>
    </row>
    <row r="473" spans="18:23" x14ac:dyDescent="0.25">
      <c r="R473" s="15"/>
      <c r="U473" s="4"/>
      <c r="V473" s="5"/>
      <c r="W473" s="17"/>
    </row>
    <row r="474" spans="18:23" x14ac:dyDescent="0.25">
      <c r="R474" s="15"/>
      <c r="U474" s="4"/>
      <c r="V474" s="5"/>
      <c r="W474" s="17"/>
    </row>
    <row r="475" spans="18:23" x14ac:dyDescent="0.25">
      <c r="R475" s="15"/>
      <c r="U475" s="4"/>
      <c r="V475" s="5"/>
      <c r="W475" s="17"/>
    </row>
    <row r="476" spans="18:23" x14ac:dyDescent="0.25">
      <c r="R476" s="15"/>
      <c r="U476" s="4"/>
      <c r="V476" s="5"/>
      <c r="W476" s="17"/>
    </row>
    <row r="477" spans="18:23" x14ac:dyDescent="0.25">
      <c r="R477" s="15"/>
      <c r="U477" s="4"/>
      <c r="V477" s="5"/>
      <c r="W477" s="17"/>
    </row>
    <row r="478" spans="18:23" x14ac:dyDescent="0.25">
      <c r="R478" s="15"/>
      <c r="U478" s="4"/>
      <c r="V478" s="5"/>
      <c r="W478" s="17"/>
    </row>
    <row r="479" spans="18:23" x14ac:dyDescent="0.25">
      <c r="R479" s="15"/>
      <c r="U479" s="4"/>
      <c r="V479" s="5"/>
      <c r="W479" s="17"/>
    </row>
    <row r="480" spans="18:23" x14ac:dyDescent="0.25">
      <c r="R480" s="15"/>
      <c r="U480" s="4"/>
      <c r="V480" s="5"/>
      <c r="W480" s="17"/>
    </row>
    <row r="481" spans="18:23" x14ac:dyDescent="0.25">
      <c r="R481" s="15"/>
      <c r="U481" s="4"/>
      <c r="V481" s="5"/>
      <c r="W481" s="17"/>
    </row>
    <row r="482" spans="18:23" x14ac:dyDescent="0.25">
      <c r="R482" s="15"/>
      <c r="U482" s="4"/>
      <c r="V482" s="5"/>
      <c r="W482" s="17"/>
    </row>
    <row r="483" spans="18:23" x14ac:dyDescent="0.25">
      <c r="R483" s="15"/>
      <c r="U483" s="4"/>
      <c r="V483" s="5"/>
      <c r="W483" s="17"/>
    </row>
    <row r="484" spans="18:23" x14ac:dyDescent="0.25">
      <c r="R484" s="15"/>
      <c r="U484" s="4"/>
      <c r="V484" s="5"/>
      <c r="W484" s="17"/>
    </row>
    <row r="485" spans="18:23" x14ac:dyDescent="0.25">
      <c r="R485" s="15"/>
      <c r="U485" s="4"/>
      <c r="V485" s="5"/>
      <c r="W485" s="17"/>
    </row>
    <row r="486" spans="18:23" x14ac:dyDescent="0.25">
      <c r="R486" s="15"/>
      <c r="U486" s="4"/>
      <c r="V486" s="5"/>
      <c r="W486" s="17"/>
    </row>
    <row r="487" spans="18:23" x14ac:dyDescent="0.25">
      <c r="R487" s="15"/>
      <c r="U487" s="4"/>
      <c r="V487" s="5"/>
      <c r="W487" s="17"/>
    </row>
    <row r="488" spans="18:23" x14ac:dyDescent="0.25">
      <c r="R488" s="15"/>
      <c r="U488" s="4"/>
      <c r="V488" s="5"/>
      <c r="W488" s="17"/>
    </row>
    <row r="489" spans="18:23" x14ac:dyDescent="0.25">
      <c r="R489" s="15"/>
      <c r="U489" s="4"/>
      <c r="V489" s="5"/>
      <c r="W489" s="17"/>
    </row>
    <row r="490" spans="18:23" x14ac:dyDescent="0.25">
      <c r="R490" s="15"/>
      <c r="U490" s="4"/>
      <c r="V490" s="5"/>
      <c r="W490" s="17"/>
    </row>
    <row r="491" spans="18:23" x14ac:dyDescent="0.25">
      <c r="R491" s="15"/>
      <c r="U491" s="4"/>
      <c r="V491" s="5"/>
      <c r="W491" s="17"/>
    </row>
    <row r="492" spans="18:23" x14ac:dyDescent="0.25">
      <c r="R492" s="15"/>
      <c r="U492" s="4"/>
      <c r="V492" s="5"/>
      <c r="W492" s="17"/>
    </row>
    <row r="493" spans="18:23" x14ac:dyDescent="0.25">
      <c r="R493" s="15"/>
      <c r="U493" s="4"/>
      <c r="V493" s="5"/>
      <c r="W493" s="17"/>
    </row>
    <row r="494" spans="18:23" x14ac:dyDescent="0.25">
      <c r="R494" s="15"/>
      <c r="U494" s="4"/>
      <c r="V494" s="5"/>
      <c r="W494" s="17"/>
    </row>
    <row r="495" spans="18:23" x14ac:dyDescent="0.25">
      <c r="R495" s="15"/>
      <c r="U495" s="4"/>
      <c r="V495" s="5"/>
      <c r="W495" s="17"/>
    </row>
    <row r="496" spans="18:23" x14ac:dyDescent="0.25">
      <c r="R496" s="15"/>
      <c r="U496" s="4"/>
      <c r="V496" s="5"/>
      <c r="W496" s="17"/>
    </row>
    <row r="497" spans="18:23" x14ac:dyDescent="0.25">
      <c r="R497" s="15"/>
      <c r="U497" s="4"/>
      <c r="V497" s="5"/>
      <c r="W497" s="17"/>
    </row>
    <row r="498" spans="18:23" x14ac:dyDescent="0.25">
      <c r="R498" s="15"/>
      <c r="U498" s="4"/>
      <c r="V498" s="5"/>
      <c r="W498" s="17"/>
    </row>
    <row r="499" spans="18:23" x14ac:dyDescent="0.25">
      <c r="R499" s="15"/>
      <c r="U499" s="4"/>
      <c r="V499" s="5"/>
      <c r="W499" s="17"/>
    </row>
    <row r="500" spans="18:23" x14ac:dyDescent="0.25">
      <c r="R500" s="15"/>
      <c r="U500" s="4"/>
      <c r="V500" s="5"/>
      <c r="W500" s="17"/>
    </row>
    <row r="501" spans="18:23" x14ac:dyDescent="0.25">
      <c r="R501" s="15"/>
      <c r="U501" s="4"/>
      <c r="V501" s="5"/>
      <c r="W501" s="17"/>
    </row>
    <row r="502" spans="18:23" x14ac:dyDescent="0.25">
      <c r="R502" s="15"/>
      <c r="U502" s="4"/>
      <c r="V502" s="5"/>
      <c r="W502" s="17"/>
    </row>
    <row r="503" spans="18:23" x14ac:dyDescent="0.25">
      <c r="R503" s="15"/>
      <c r="U503" s="4"/>
      <c r="V503" s="5"/>
      <c r="W503" s="17"/>
    </row>
    <row r="504" spans="18:23" x14ac:dyDescent="0.25">
      <c r="R504" s="15"/>
      <c r="U504" s="4"/>
      <c r="V504" s="5"/>
      <c r="W504" s="17"/>
    </row>
    <row r="505" spans="18:23" x14ac:dyDescent="0.25">
      <c r="R505" s="15"/>
      <c r="U505" s="4"/>
      <c r="V505" s="5"/>
      <c r="W505" s="17"/>
    </row>
    <row r="506" spans="18:23" x14ac:dyDescent="0.25">
      <c r="R506" s="15"/>
      <c r="U506" s="4"/>
      <c r="V506" s="5"/>
      <c r="W506" s="17"/>
    </row>
    <row r="507" spans="18:23" x14ac:dyDescent="0.25">
      <c r="R507" s="15"/>
      <c r="U507" s="4"/>
      <c r="V507" s="5"/>
      <c r="W507" s="17"/>
    </row>
    <row r="508" spans="18:23" x14ac:dyDescent="0.25">
      <c r="R508" s="15"/>
      <c r="U508" s="4"/>
      <c r="V508" s="5"/>
      <c r="W508" s="17"/>
    </row>
    <row r="509" spans="18:23" x14ac:dyDescent="0.25">
      <c r="R509" s="15"/>
      <c r="U509" s="4"/>
      <c r="V509" s="5"/>
      <c r="W509" s="17"/>
    </row>
    <row r="510" spans="18:23" x14ac:dyDescent="0.25">
      <c r="R510" s="15"/>
      <c r="U510" s="4"/>
      <c r="V510" s="5"/>
      <c r="W510" s="17"/>
    </row>
    <row r="511" spans="18:23" x14ac:dyDescent="0.25">
      <c r="R511" s="15"/>
      <c r="U511" s="4"/>
      <c r="V511" s="5"/>
      <c r="W511" s="17"/>
    </row>
    <row r="512" spans="18:23" x14ac:dyDescent="0.25">
      <c r="R512" s="15"/>
      <c r="U512" s="4"/>
      <c r="V512" s="5"/>
      <c r="W512" s="17"/>
    </row>
    <row r="513" spans="18:23" x14ac:dyDescent="0.25">
      <c r="R513" s="15"/>
      <c r="U513" s="4"/>
      <c r="V513" s="5"/>
      <c r="W513" s="43"/>
    </row>
    <row r="514" spans="18:23" x14ac:dyDescent="0.25">
      <c r="R514" s="15"/>
      <c r="U514" s="4"/>
      <c r="V514" s="5"/>
      <c r="W514" s="17"/>
    </row>
    <row r="515" spans="18:23" x14ac:dyDescent="0.25">
      <c r="R515" s="15"/>
      <c r="U515" s="4"/>
      <c r="V515" s="5"/>
      <c r="W515" s="17"/>
    </row>
    <row r="516" spans="18:23" x14ac:dyDescent="0.25">
      <c r="R516" s="15"/>
      <c r="U516" s="4"/>
      <c r="V516" s="5"/>
      <c r="W516" s="17"/>
    </row>
    <row r="517" spans="18:23" x14ac:dyDescent="0.25">
      <c r="R517" s="15"/>
      <c r="U517" s="4"/>
      <c r="V517" s="5"/>
      <c r="W517" s="17"/>
    </row>
    <row r="518" spans="18:23" x14ac:dyDescent="0.25">
      <c r="R518" s="15"/>
      <c r="U518" s="4"/>
      <c r="V518" s="5"/>
      <c r="W518" s="17"/>
    </row>
    <row r="519" spans="18:23" x14ac:dyDescent="0.25">
      <c r="R519" s="15"/>
      <c r="U519" s="4"/>
      <c r="V519" s="5"/>
      <c r="W519" s="17"/>
    </row>
    <row r="520" spans="18:23" x14ac:dyDescent="0.25">
      <c r="R520" s="15"/>
      <c r="U520" s="4"/>
      <c r="V520" s="5"/>
      <c r="W520" s="17"/>
    </row>
    <row r="521" spans="18:23" x14ac:dyDescent="0.25">
      <c r="R521" s="15"/>
      <c r="U521" s="4"/>
      <c r="V521" s="5"/>
      <c r="W521" s="17"/>
    </row>
    <row r="522" spans="18:23" x14ac:dyDescent="0.25">
      <c r="R522" s="15"/>
      <c r="U522" s="4"/>
      <c r="V522" s="5"/>
      <c r="W522" s="17"/>
    </row>
    <row r="523" spans="18:23" x14ac:dyDescent="0.25">
      <c r="R523" s="15"/>
      <c r="U523" s="4"/>
      <c r="V523" s="5"/>
      <c r="W523" s="17"/>
    </row>
    <row r="524" spans="18:23" x14ac:dyDescent="0.25">
      <c r="R524" s="15"/>
      <c r="U524" s="4"/>
      <c r="V524" s="5"/>
      <c r="W524" s="17"/>
    </row>
    <row r="525" spans="18:23" x14ac:dyDescent="0.25">
      <c r="R525" s="15"/>
      <c r="U525" s="4"/>
      <c r="V525" s="5"/>
      <c r="W525" s="17"/>
    </row>
    <row r="526" spans="18:23" x14ac:dyDescent="0.25">
      <c r="R526" s="15"/>
      <c r="U526" s="4"/>
      <c r="V526" s="5"/>
      <c r="W526" s="17"/>
    </row>
    <row r="527" spans="18:23" x14ac:dyDescent="0.25">
      <c r="R527" s="15"/>
      <c r="U527" s="4"/>
      <c r="V527" s="5"/>
      <c r="W527" s="17"/>
    </row>
    <row r="528" spans="18:23" x14ac:dyDescent="0.25">
      <c r="R528" s="15"/>
      <c r="U528" s="4"/>
      <c r="V528" s="5"/>
      <c r="W528" s="17"/>
    </row>
    <row r="529" spans="18:23" x14ac:dyDescent="0.25">
      <c r="R529" s="15"/>
      <c r="U529" s="4"/>
      <c r="V529" s="5"/>
      <c r="W529" s="17"/>
    </row>
    <row r="530" spans="18:23" x14ac:dyDescent="0.25">
      <c r="R530" s="15"/>
      <c r="U530" s="4"/>
      <c r="V530" s="5"/>
      <c r="W530" s="17"/>
    </row>
    <row r="531" spans="18:23" x14ac:dyDescent="0.25">
      <c r="R531" s="15"/>
      <c r="U531" s="4"/>
      <c r="V531" s="5"/>
      <c r="W531" s="17"/>
    </row>
    <row r="532" spans="18:23" x14ac:dyDescent="0.25">
      <c r="R532" s="15"/>
      <c r="U532" s="4"/>
      <c r="V532" s="5"/>
      <c r="W532" s="17"/>
    </row>
    <row r="533" spans="18:23" x14ac:dyDescent="0.25">
      <c r="R533" s="15"/>
      <c r="U533" s="4"/>
      <c r="V533" s="5"/>
      <c r="W533" s="17"/>
    </row>
    <row r="534" spans="18:23" x14ac:dyDescent="0.25">
      <c r="R534" s="15"/>
      <c r="U534" s="4"/>
      <c r="V534" s="5"/>
      <c r="W534" s="17"/>
    </row>
    <row r="535" spans="18:23" x14ac:dyDescent="0.25">
      <c r="R535" s="15"/>
      <c r="U535" s="4"/>
      <c r="V535" s="5"/>
      <c r="W535" s="17"/>
    </row>
    <row r="536" spans="18:23" x14ac:dyDescent="0.25">
      <c r="R536" s="15"/>
      <c r="U536" s="4"/>
      <c r="V536" s="5"/>
      <c r="W536" s="17"/>
    </row>
    <row r="537" spans="18:23" x14ac:dyDescent="0.25">
      <c r="R537" s="15"/>
      <c r="U537" s="4"/>
      <c r="V537" s="5"/>
      <c r="W537" s="17"/>
    </row>
    <row r="538" spans="18:23" x14ac:dyDescent="0.25">
      <c r="R538" s="15"/>
      <c r="U538" s="4"/>
      <c r="V538" s="5"/>
      <c r="W538" s="17"/>
    </row>
    <row r="539" spans="18:23" x14ac:dyDescent="0.25">
      <c r="R539" s="15"/>
      <c r="U539" s="4"/>
      <c r="V539" s="5"/>
      <c r="W539" s="17"/>
    </row>
    <row r="540" spans="18:23" x14ac:dyDescent="0.25">
      <c r="R540" s="15"/>
      <c r="U540" s="4"/>
      <c r="V540" s="5"/>
      <c r="W540" s="17"/>
    </row>
    <row r="541" spans="18:23" x14ac:dyDescent="0.25">
      <c r="R541" s="15"/>
      <c r="U541" s="4"/>
      <c r="V541" s="5"/>
      <c r="W541" s="17"/>
    </row>
    <row r="542" spans="18:23" x14ac:dyDescent="0.25">
      <c r="R542" s="15"/>
      <c r="U542" s="4"/>
      <c r="V542" s="5"/>
      <c r="W542" s="17"/>
    </row>
    <row r="543" spans="18:23" x14ac:dyDescent="0.25">
      <c r="R543" s="15"/>
      <c r="U543" s="4"/>
      <c r="V543" s="5"/>
      <c r="W543" s="17"/>
    </row>
    <row r="544" spans="18:23" x14ac:dyDescent="0.25">
      <c r="R544" s="15"/>
      <c r="U544" s="4"/>
      <c r="V544" s="5"/>
      <c r="W544" s="17"/>
    </row>
    <row r="545" spans="18:23" x14ac:dyDescent="0.25">
      <c r="R545" s="15"/>
      <c r="U545" s="4"/>
      <c r="V545" s="5"/>
      <c r="W545" s="17"/>
    </row>
    <row r="546" spans="18:23" x14ac:dyDescent="0.25">
      <c r="R546" s="15"/>
      <c r="U546" s="4"/>
      <c r="V546" s="5"/>
      <c r="W546" s="17"/>
    </row>
    <row r="547" spans="18:23" x14ac:dyDescent="0.25">
      <c r="R547" s="15"/>
      <c r="U547" s="4"/>
      <c r="V547" s="5"/>
      <c r="W547" s="17"/>
    </row>
    <row r="548" spans="18:23" x14ac:dyDescent="0.25">
      <c r="R548" s="15"/>
      <c r="U548" s="4"/>
      <c r="V548" s="5"/>
      <c r="W548" s="17"/>
    </row>
    <row r="549" spans="18:23" x14ac:dyDescent="0.25">
      <c r="R549" s="15"/>
      <c r="U549" s="4"/>
      <c r="V549" s="5"/>
      <c r="W549" s="17"/>
    </row>
    <row r="550" spans="18:23" x14ac:dyDescent="0.25">
      <c r="R550" s="15"/>
      <c r="U550" s="4"/>
      <c r="V550" s="5"/>
      <c r="W550" s="17"/>
    </row>
    <row r="551" spans="18:23" x14ac:dyDescent="0.25">
      <c r="R551" s="15"/>
      <c r="U551" s="4"/>
      <c r="V551" s="5"/>
      <c r="W551" s="17"/>
    </row>
    <row r="552" spans="18:23" x14ac:dyDescent="0.25">
      <c r="R552" s="15"/>
      <c r="U552" s="4"/>
      <c r="V552" s="5"/>
      <c r="W552" s="17"/>
    </row>
    <row r="553" spans="18:23" x14ac:dyDescent="0.25">
      <c r="R553" s="15"/>
      <c r="U553" s="4"/>
      <c r="V553" s="5"/>
      <c r="W553" s="17"/>
    </row>
    <row r="554" spans="18:23" x14ac:dyDescent="0.25">
      <c r="R554" s="15"/>
      <c r="U554" s="4"/>
      <c r="V554" s="5"/>
      <c r="W554" s="17"/>
    </row>
    <row r="555" spans="18:23" x14ac:dyDescent="0.25">
      <c r="R555" s="15"/>
      <c r="U555" s="4"/>
      <c r="V555" s="5"/>
      <c r="W555" s="17"/>
    </row>
    <row r="556" spans="18:23" x14ac:dyDescent="0.25">
      <c r="R556" s="15"/>
      <c r="U556" s="4"/>
      <c r="V556" s="5"/>
      <c r="W556" s="17"/>
    </row>
    <row r="557" spans="18:23" x14ac:dyDescent="0.25">
      <c r="R557" s="15"/>
      <c r="U557" s="4"/>
      <c r="V557" s="5"/>
      <c r="W557" s="17"/>
    </row>
    <row r="558" spans="18:23" x14ac:dyDescent="0.25">
      <c r="R558" s="15"/>
      <c r="U558" s="4"/>
      <c r="V558" s="5"/>
      <c r="W558" s="17"/>
    </row>
    <row r="559" spans="18:23" x14ac:dyDescent="0.25">
      <c r="R559" s="15"/>
      <c r="U559" s="4"/>
      <c r="V559" s="5"/>
      <c r="W559" s="17"/>
    </row>
    <row r="560" spans="18:23" x14ac:dyDescent="0.25">
      <c r="R560" s="15"/>
      <c r="U560" s="4"/>
      <c r="V560" s="5"/>
      <c r="W560" s="17"/>
    </row>
    <row r="561" spans="18:23" x14ac:dyDescent="0.25">
      <c r="R561" s="15"/>
      <c r="U561" s="4"/>
      <c r="V561" s="5"/>
      <c r="W561" s="17"/>
    </row>
    <row r="562" spans="18:23" x14ac:dyDescent="0.25">
      <c r="R562" s="15"/>
      <c r="U562" s="4"/>
      <c r="V562" s="5"/>
      <c r="W562" s="17"/>
    </row>
    <row r="563" spans="18:23" x14ac:dyDescent="0.25">
      <c r="R563" s="15"/>
      <c r="U563" s="4"/>
      <c r="V563" s="5"/>
      <c r="W563" s="17"/>
    </row>
    <row r="564" spans="18:23" x14ac:dyDescent="0.25">
      <c r="R564" s="15"/>
      <c r="U564" s="4"/>
      <c r="V564" s="5"/>
      <c r="W564" s="17"/>
    </row>
    <row r="565" spans="18:23" x14ac:dyDescent="0.25">
      <c r="R565" s="15"/>
      <c r="U565" s="4"/>
      <c r="V565" s="5"/>
      <c r="W565" s="17"/>
    </row>
    <row r="566" spans="18:23" x14ac:dyDescent="0.25">
      <c r="R566" s="15"/>
      <c r="U566" s="4"/>
      <c r="V566" s="5"/>
      <c r="W566" s="17"/>
    </row>
    <row r="567" spans="18:23" x14ac:dyDescent="0.25">
      <c r="R567" s="15"/>
      <c r="U567" s="4"/>
      <c r="V567" s="5"/>
      <c r="W567" s="17"/>
    </row>
    <row r="568" spans="18:23" x14ac:dyDescent="0.25">
      <c r="R568" s="15"/>
      <c r="U568" s="4"/>
      <c r="V568" s="5"/>
      <c r="W568" s="17"/>
    </row>
    <row r="569" spans="18:23" x14ac:dyDescent="0.25">
      <c r="R569" s="15"/>
      <c r="U569" s="4"/>
      <c r="V569" s="5"/>
      <c r="W569" s="17"/>
    </row>
    <row r="570" spans="18:23" x14ac:dyDescent="0.25">
      <c r="R570" s="15"/>
      <c r="U570" s="4"/>
      <c r="V570" s="5"/>
      <c r="W570" s="17"/>
    </row>
    <row r="571" spans="18:23" x14ac:dyDescent="0.25">
      <c r="R571" s="15"/>
      <c r="U571" s="4"/>
      <c r="V571" s="5"/>
      <c r="W571" s="17"/>
    </row>
    <row r="572" spans="18:23" x14ac:dyDescent="0.25">
      <c r="R572" s="15"/>
      <c r="U572" s="4"/>
      <c r="V572" s="5"/>
      <c r="W572" s="17"/>
    </row>
    <row r="573" spans="18:23" x14ac:dyDescent="0.25">
      <c r="R573" s="15"/>
      <c r="U573" s="4"/>
      <c r="V573" s="5"/>
      <c r="W573" s="17"/>
    </row>
    <row r="574" spans="18:23" x14ac:dyDescent="0.25">
      <c r="R574" s="15"/>
      <c r="U574" s="4"/>
      <c r="V574" s="5"/>
      <c r="W574" s="17"/>
    </row>
    <row r="575" spans="18:23" x14ac:dyDescent="0.25">
      <c r="R575" s="15"/>
      <c r="U575" s="4"/>
      <c r="V575" s="5"/>
      <c r="W575" s="17"/>
    </row>
    <row r="576" spans="18:23" x14ac:dyDescent="0.25">
      <c r="R576" s="15"/>
      <c r="U576" s="4"/>
      <c r="V576" s="5"/>
      <c r="W576" s="17"/>
    </row>
    <row r="577" spans="18:23" x14ac:dyDescent="0.25">
      <c r="R577" s="15"/>
      <c r="U577" s="4"/>
      <c r="V577" s="5"/>
      <c r="W577" s="17"/>
    </row>
    <row r="578" spans="18:23" x14ac:dyDescent="0.25">
      <c r="R578" s="15"/>
      <c r="U578" s="4"/>
      <c r="V578" s="5"/>
      <c r="W578" s="17"/>
    </row>
    <row r="579" spans="18:23" x14ac:dyDescent="0.25">
      <c r="R579" s="15"/>
      <c r="U579" s="4"/>
      <c r="V579" s="5"/>
      <c r="W579" s="17"/>
    </row>
    <row r="580" spans="18:23" x14ac:dyDescent="0.25">
      <c r="R580" s="15"/>
      <c r="U580" s="4"/>
      <c r="V580" s="5"/>
      <c r="W580" s="17"/>
    </row>
    <row r="581" spans="18:23" x14ac:dyDescent="0.25">
      <c r="R581" s="15"/>
      <c r="U581" s="4"/>
      <c r="V581" s="5"/>
      <c r="W581" s="17"/>
    </row>
    <row r="582" spans="18:23" x14ac:dyDescent="0.25">
      <c r="R582" s="15"/>
      <c r="U582" s="4"/>
      <c r="V582" s="5"/>
      <c r="W582" s="17"/>
    </row>
    <row r="583" spans="18:23" x14ac:dyDescent="0.25">
      <c r="R583" s="15"/>
      <c r="U583" s="4"/>
      <c r="V583" s="5"/>
      <c r="W583" s="17"/>
    </row>
    <row r="584" spans="18:23" x14ac:dyDescent="0.25">
      <c r="R584" s="15"/>
      <c r="U584" s="4"/>
      <c r="V584" s="5"/>
      <c r="W584" s="17"/>
    </row>
    <row r="585" spans="18:23" x14ac:dyDescent="0.25">
      <c r="R585" s="15"/>
      <c r="U585" s="4"/>
      <c r="V585" s="5"/>
      <c r="W585" s="17"/>
    </row>
    <row r="586" spans="18:23" x14ac:dyDescent="0.25">
      <c r="R586" s="15"/>
      <c r="U586" s="4"/>
      <c r="V586" s="5"/>
      <c r="W586" s="17"/>
    </row>
    <row r="587" spans="18:23" x14ac:dyDescent="0.25">
      <c r="R587" s="15"/>
      <c r="U587" s="4"/>
      <c r="V587" s="5"/>
      <c r="W587" s="17"/>
    </row>
    <row r="588" spans="18:23" x14ac:dyDescent="0.25">
      <c r="R588" s="15"/>
      <c r="U588" s="4"/>
      <c r="V588" s="5"/>
      <c r="W588" s="17"/>
    </row>
    <row r="589" spans="18:23" x14ac:dyDescent="0.25">
      <c r="R589" s="15"/>
      <c r="U589" s="4"/>
      <c r="V589" s="5"/>
      <c r="W589" s="17"/>
    </row>
    <row r="590" spans="18:23" x14ac:dyDescent="0.25">
      <c r="R590" s="15"/>
      <c r="U590" s="4"/>
      <c r="V590" s="5"/>
      <c r="W590" s="17"/>
    </row>
    <row r="591" spans="18:23" x14ac:dyDescent="0.25">
      <c r="R591" s="15"/>
      <c r="U591" s="4"/>
      <c r="V591" s="5"/>
      <c r="W591" s="17"/>
    </row>
    <row r="592" spans="18:23" x14ac:dyDescent="0.25">
      <c r="R592" s="15"/>
      <c r="U592" s="4"/>
      <c r="V592" s="5"/>
      <c r="W592" s="17"/>
    </row>
    <row r="593" spans="18:23" x14ac:dyDescent="0.25">
      <c r="R593" s="15"/>
      <c r="U593" s="4"/>
      <c r="V593" s="5"/>
      <c r="W593" s="17"/>
    </row>
    <row r="594" spans="18:23" x14ac:dyDescent="0.25">
      <c r="R594" s="15"/>
      <c r="U594" s="4"/>
      <c r="V594" s="5"/>
      <c r="W594" s="17"/>
    </row>
    <row r="595" spans="18:23" x14ac:dyDescent="0.25">
      <c r="R595" s="15"/>
      <c r="U595" s="4"/>
      <c r="V595" s="5"/>
      <c r="W595" s="17"/>
    </row>
    <row r="596" spans="18:23" x14ac:dyDescent="0.25">
      <c r="R596" s="15"/>
      <c r="U596" s="4"/>
      <c r="V596" s="5"/>
      <c r="W596" s="17"/>
    </row>
    <row r="597" spans="18:23" x14ac:dyDescent="0.25">
      <c r="R597" s="15"/>
      <c r="U597" s="4"/>
      <c r="V597" s="5"/>
      <c r="W597" s="17"/>
    </row>
    <row r="598" spans="18:23" x14ac:dyDescent="0.25">
      <c r="R598" s="15"/>
      <c r="U598" s="4"/>
      <c r="V598" s="5"/>
      <c r="W598" s="17"/>
    </row>
    <row r="599" spans="18:23" x14ac:dyDescent="0.25">
      <c r="R599" s="15"/>
      <c r="U599" s="4"/>
      <c r="V599" s="5"/>
      <c r="W599" s="17"/>
    </row>
    <row r="600" spans="18:23" x14ac:dyDescent="0.25">
      <c r="R600" s="15"/>
      <c r="U600" s="4"/>
      <c r="V600" s="5"/>
      <c r="W600" s="17"/>
    </row>
    <row r="601" spans="18:23" x14ac:dyDescent="0.25">
      <c r="R601" s="15"/>
      <c r="U601" s="4"/>
      <c r="V601" s="5"/>
      <c r="W601" s="17"/>
    </row>
    <row r="602" spans="18:23" x14ac:dyDescent="0.25">
      <c r="R602" s="15"/>
      <c r="U602" s="4"/>
      <c r="V602" s="5"/>
      <c r="W602" s="17"/>
    </row>
    <row r="603" spans="18:23" x14ac:dyDescent="0.25">
      <c r="R603" s="15"/>
      <c r="U603" s="4"/>
      <c r="V603" s="5"/>
      <c r="W603" s="17"/>
    </row>
    <row r="604" spans="18:23" x14ac:dyDescent="0.25">
      <c r="R604" s="15"/>
      <c r="U604" s="4"/>
      <c r="V604" s="5"/>
      <c r="W604" s="17"/>
    </row>
    <row r="605" spans="18:23" x14ac:dyDescent="0.25">
      <c r="R605" s="15"/>
      <c r="U605" s="4"/>
      <c r="V605" s="5"/>
      <c r="W605" s="17"/>
    </row>
    <row r="606" spans="18:23" x14ac:dyDescent="0.25">
      <c r="R606" s="15"/>
      <c r="U606" s="4"/>
      <c r="V606" s="5"/>
      <c r="W606" s="17"/>
    </row>
    <row r="607" spans="18:23" x14ac:dyDescent="0.25">
      <c r="R607" s="15"/>
      <c r="U607" s="4"/>
      <c r="V607" s="5"/>
      <c r="W607" s="17"/>
    </row>
    <row r="608" spans="18:23" x14ac:dyDescent="0.25">
      <c r="R608" s="15"/>
      <c r="U608" s="4"/>
      <c r="V608" s="5"/>
      <c r="W608" s="17"/>
    </row>
    <row r="609" spans="18:23" x14ac:dyDescent="0.25">
      <c r="R609" s="15"/>
      <c r="U609" s="4"/>
      <c r="V609" s="5"/>
      <c r="W609" s="17"/>
    </row>
    <row r="610" spans="18:23" x14ac:dyDescent="0.25">
      <c r="R610" s="15"/>
      <c r="U610" s="4"/>
      <c r="V610" s="5"/>
      <c r="W610" s="17"/>
    </row>
    <row r="611" spans="18:23" x14ac:dyDescent="0.25">
      <c r="R611" s="15"/>
      <c r="U611" s="4"/>
      <c r="V611" s="5"/>
      <c r="W611" s="17"/>
    </row>
    <row r="612" spans="18:23" x14ac:dyDescent="0.25">
      <c r="R612" s="15"/>
      <c r="U612" s="4"/>
      <c r="V612" s="5"/>
      <c r="W612" s="17"/>
    </row>
    <row r="613" spans="18:23" x14ac:dyDescent="0.25">
      <c r="R613" s="15"/>
      <c r="U613" s="4"/>
      <c r="V613" s="5"/>
      <c r="W613" s="17"/>
    </row>
    <row r="614" spans="18:23" x14ac:dyDescent="0.25">
      <c r="R614" s="15"/>
      <c r="U614" s="4"/>
      <c r="V614" s="5"/>
      <c r="W614" s="17"/>
    </row>
    <row r="615" spans="18:23" x14ac:dyDescent="0.25">
      <c r="R615" s="15"/>
      <c r="U615" s="4"/>
      <c r="V615" s="5"/>
      <c r="W615" s="17"/>
    </row>
    <row r="616" spans="18:23" x14ac:dyDescent="0.25">
      <c r="R616" s="15"/>
      <c r="U616" s="4"/>
      <c r="V616" s="5"/>
      <c r="W616" s="17"/>
    </row>
    <row r="617" spans="18:23" x14ac:dyDescent="0.25">
      <c r="R617" s="15"/>
      <c r="U617" s="4"/>
      <c r="V617" s="5"/>
      <c r="W617" s="17"/>
    </row>
    <row r="618" spans="18:23" x14ac:dyDescent="0.25">
      <c r="R618" s="15"/>
      <c r="U618" s="4"/>
      <c r="V618" s="5"/>
      <c r="W618" s="17"/>
    </row>
    <row r="619" spans="18:23" x14ac:dyDescent="0.25">
      <c r="R619" s="15"/>
      <c r="U619" s="4"/>
      <c r="V619" s="5"/>
      <c r="W619" s="17"/>
    </row>
    <row r="620" spans="18:23" x14ac:dyDescent="0.25">
      <c r="R620" s="15"/>
      <c r="U620" s="4"/>
      <c r="V620" s="5"/>
      <c r="W620" s="17"/>
    </row>
    <row r="621" spans="18:23" x14ac:dyDescent="0.25">
      <c r="R621" s="15"/>
      <c r="U621" s="4"/>
      <c r="V621" s="5"/>
      <c r="W621" s="17"/>
    </row>
    <row r="622" spans="18:23" x14ac:dyDescent="0.25">
      <c r="R622" s="15"/>
      <c r="U622" s="4"/>
      <c r="V622" s="5"/>
      <c r="W622" s="17"/>
    </row>
    <row r="623" spans="18:23" x14ac:dyDescent="0.25">
      <c r="R623" s="15"/>
      <c r="U623" s="4"/>
      <c r="V623" s="5"/>
      <c r="W623" s="17"/>
    </row>
    <row r="624" spans="18:23" x14ac:dyDescent="0.25">
      <c r="R624" s="15"/>
      <c r="U624" s="4"/>
      <c r="V624" s="5"/>
      <c r="W624" s="17"/>
    </row>
    <row r="625" spans="18:23" x14ac:dyDescent="0.25">
      <c r="R625" s="15"/>
      <c r="U625" s="4"/>
      <c r="V625" s="5"/>
      <c r="W625" s="17"/>
    </row>
    <row r="626" spans="18:23" x14ac:dyDescent="0.25">
      <c r="R626" s="15"/>
      <c r="U626" s="4"/>
      <c r="V626" s="5"/>
      <c r="W626" s="17"/>
    </row>
    <row r="627" spans="18:23" x14ac:dyDescent="0.25">
      <c r="R627" s="15"/>
      <c r="U627" s="4"/>
      <c r="V627" s="5"/>
      <c r="W627" s="17"/>
    </row>
    <row r="628" spans="18:23" x14ac:dyDescent="0.25">
      <c r="R628" s="15"/>
      <c r="U628" s="4"/>
      <c r="V628" s="5"/>
      <c r="W628" s="17"/>
    </row>
    <row r="629" spans="18:23" x14ac:dyDescent="0.25">
      <c r="R629" s="15"/>
      <c r="U629" s="4"/>
      <c r="V629" s="5"/>
      <c r="W629" s="17"/>
    </row>
    <row r="630" spans="18:23" x14ac:dyDescent="0.25">
      <c r="R630" s="15"/>
      <c r="U630" s="4"/>
      <c r="V630" s="5"/>
      <c r="W630" s="17"/>
    </row>
    <row r="631" spans="18:23" x14ac:dyDescent="0.25">
      <c r="R631" s="15"/>
      <c r="U631" s="4"/>
      <c r="V631" s="5"/>
      <c r="W631" s="17"/>
    </row>
    <row r="632" spans="18:23" x14ac:dyDescent="0.25">
      <c r="R632" s="15"/>
      <c r="U632" s="4"/>
      <c r="V632" s="5"/>
      <c r="W632" s="17"/>
    </row>
    <row r="633" spans="18:23" x14ac:dyDescent="0.25">
      <c r="R633" s="15"/>
      <c r="U633" s="4"/>
      <c r="V633" s="5"/>
      <c r="W633" s="14"/>
    </row>
    <row r="634" spans="18:23" x14ac:dyDescent="0.25">
      <c r="R634" s="15"/>
      <c r="U634" s="4"/>
      <c r="V634" s="5"/>
      <c r="W634" s="17"/>
    </row>
    <row r="635" spans="18:23" x14ac:dyDescent="0.25">
      <c r="R635" s="15"/>
      <c r="U635" s="4"/>
      <c r="V635" s="5"/>
      <c r="W635" s="17"/>
    </row>
    <row r="636" spans="18:23" x14ac:dyDescent="0.25">
      <c r="R636" s="15"/>
      <c r="U636" s="4"/>
      <c r="V636" s="5"/>
      <c r="W636" s="17"/>
    </row>
    <row r="637" spans="18:23" x14ac:dyDescent="0.25">
      <c r="R637" s="15"/>
      <c r="U637" s="4"/>
      <c r="V637" s="5"/>
      <c r="W637" s="17"/>
    </row>
    <row r="638" spans="18:23" x14ac:dyDescent="0.25">
      <c r="R638" s="15"/>
      <c r="U638" s="4"/>
      <c r="V638" s="5"/>
      <c r="W638" s="17"/>
    </row>
    <row r="639" spans="18:23" x14ac:dyDescent="0.25">
      <c r="R639" s="15"/>
      <c r="U639" s="4"/>
      <c r="V639" s="5"/>
      <c r="W639" s="17"/>
    </row>
    <row r="640" spans="18:23" x14ac:dyDescent="0.25">
      <c r="R640" s="15"/>
      <c r="U640" s="4"/>
      <c r="V640" s="5"/>
      <c r="W640" s="17"/>
    </row>
    <row r="641" spans="18:23" x14ac:dyDescent="0.25">
      <c r="R641" s="15"/>
      <c r="U641" s="4"/>
      <c r="V641" s="5"/>
      <c r="W641" s="17"/>
    </row>
    <row r="642" spans="18:23" x14ac:dyDescent="0.25">
      <c r="R642" s="15"/>
      <c r="U642" s="4"/>
      <c r="V642" s="5"/>
      <c r="W642" s="17"/>
    </row>
    <row r="643" spans="18:23" x14ac:dyDescent="0.25">
      <c r="R643" s="15"/>
      <c r="U643" s="4"/>
      <c r="V643" s="5"/>
      <c r="W643" s="17"/>
    </row>
    <row r="644" spans="18:23" x14ac:dyDescent="0.25">
      <c r="R644" s="15"/>
      <c r="U644" s="4"/>
      <c r="V644" s="5"/>
      <c r="W644" s="17"/>
    </row>
    <row r="645" spans="18:23" x14ac:dyDescent="0.25">
      <c r="R645" s="15"/>
      <c r="U645" s="4"/>
      <c r="V645" s="5"/>
      <c r="W645" s="17"/>
    </row>
    <row r="646" spans="18:23" x14ac:dyDescent="0.25">
      <c r="R646" s="15"/>
      <c r="U646" s="4"/>
      <c r="V646" s="5"/>
      <c r="W646" s="17"/>
    </row>
    <row r="647" spans="18:23" x14ac:dyDescent="0.25">
      <c r="R647" s="15"/>
      <c r="U647" s="4"/>
      <c r="V647" s="5"/>
      <c r="W647" s="17"/>
    </row>
    <row r="648" spans="18:23" x14ac:dyDescent="0.25">
      <c r="R648" s="15"/>
      <c r="U648" s="4"/>
      <c r="V648" s="5"/>
      <c r="W648" s="17"/>
    </row>
    <row r="649" spans="18:23" x14ac:dyDescent="0.25">
      <c r="R649" s="15"/>
      <c r="U649" s="4"/>
      <c r="V649" s="5"/>
      <c r="W649" s="17"/>
    </row>
    <row r="650" spans="18:23" x14ac:dyDescent="0.25">
      <c r="R650" s="15"/>
      <c r="U650" s="4"/>
      <c r="V650" s="5"/>
      <c r="W650" s="17"/>
    </row>
    <row r="651" spans="18:23" x14ac:dyDescent="0.25">
      <c r="R651" s="15"/>
      <c r="U651" s="4"/>
      <c r="V651" s="5"/>
      <c r="W651" s="17"/>
    </row>
    <row r="652" spans="18:23" x14ac:dyDescent="0.25">
      <c r="R652" s="15"/>
      <c r="U652" s="4"/>
      <c r="V652" s="5"/>
      <c r="W652" s="17"/>
    </row>
    <row r="653" spans="18:23" x14ac:dyDescent="0.25">
      <c r="R653" s="15"/>
      <c r="U653" s="4"/>
      <c r="V653" s="5"/>
      <c r="W653" s="17"/>
    </row>
    <row r="654" spans="18:23" x14ac:dyDescent="0.25">
      <c r="R654" s="15"/>
      <c r="U654" s="4"/>
      <c r="V654" s="5"/>
      <c r="W654" s="17"/>
    </row>
    <row r="655" spans="18:23" x14ac:dyDescent="0.25">
      <c r="R655" s="15"/>
      <c r="U655" s="4"/>
      <c r="V655" s="5"/>
      <c r="W655" s="17"/>
    </row>
    <row r="656" spans="18:23" x14ac:dyDescent="0.25">
      <c r="R656" s="15"/>
      <c r="U656" s="4"/>
      <c r="V656" s="5"/>
      <c r="W656" s="17"/>
    </row>
    <row r="657" spans="18:23" x14ac:dyDescent="0.25">
      <c r="R657" s="15"/>
      <c r="U657" s="4"/>
      <c r="V657" s="5"/>
      <c r="W657" s="17"/>
    </row>
    <row r="658" spans="18:23" x14ac:dyDescent="0.25">
      <c r="R658" s="15"/>
      <c r="U658" s="4"/>
      <c r="V658" s="5"/>
      <c r="W658" s="17"/>
    </row>
    <row r="659" spans="18:23" x14ac:dyDescent="0.25">
      <c r="R659" s="15"/>
      <c r="U659" s="4"/>
      <c r="V659" s="5"/>
      <c r="W659" s="17"/>
    </row>
    <row r="660" spans="18:23" x14ac:dyDescent="0.25">
      <c r="R660" s="15"/>
      <c r="U660" s="4"/>
      <c r="V660" s="5"/>
      <c r="W660" s="17"/>
    </row>
    <row r="661" spans="18:23" x14ac:dyDescent="0.25">
      <c r="R661" s="15"/>
      <c r="U661" s="4"/>
      <c r="V661" s="5"/>
      <c r="W661" s="17"/>
    </row>
    <row r="662" spans="18:23" x14ac:dyDescent="0.25">
      <c r="R662" s="15"/>
      <c r="U662" s="4"/>
      <c r="V662" s="5"/>
      <c r="W662" s="17"/>
    </row>
    <row r="663" spans="18:23" x14ac:dyDescent="0.25">
      <c r="R663" s="15"/>
      <c r="U663" s="4"/>
      <c r="V663" s="5"/>
      <c r="W663" s="17"/>
    </row>
    <row r="664" spans="18:23" x14ac:dyDescent="0.25">
      <c r="R664" s="15"/>
      <c r="U664" s="4"/>
      <c r="V664" s="5"/>
      <c r="W664" s="17"/>
    </row>
    <row r="665" spans="18:23" x14ac:dyDescent="0.25">
      <c r="R665" s="15"/>
      <c r="U665" s="4"/>
      <c r="V665" s="5"/>
      <c r="W665" s="17"/>
    </row>
    <row r="666" spans="18:23" x14ac:dyDescent="0.25">
      <c r="R666" s="15"/>
      <c r="U666" s="4"/>
      <c r="V666" s="5"/>
      <c r="W666" s="17"/>
    </row>
    <row r="667" spans="18:23" x14ac:dyDescent="0.25">
      <c r="R667" s="15"/>
      <c r="U667" s="4"/>
      <c r="V667" s="5"/>
      <c r="W667" s="17"/>
    </row>
    <row r="668" spans="18:23" x14ac:dyDescent="0.25">
      <c r="R668" s="15"/>
      <c r="U668" s="4"/>
      <c r="V668" s="5"/>
      <c r="W668" s="17"/>
    </row>
    <row r="669" spans="18:23" x14ac:dyDescent="0.25">
      <c r="R669" s="15"/>
      <c r="U669" s="4"/>
      <c r="V669" s="5"/>
      <c r="W669" s="17"/>
    </row>
    <row r="670" spans="18:23" x14ac:dyDescent="0.25">
      <c r="R670" s="15"/>
      <c r="U670" s="4"/>
      <c r="V670" s="5"/>
      <c r="W670" s="14"/>
    </row>
    <row r="671" spans="18:23" x14ac:dyDescent="0.25">
      <c r="R671" s="15"/>
      <c r="U671" s="4"/>
      <c r="V671" s="5"/>
      <c r="W671" s="17"/>
    </row>
    <row r="672" spans="18:23" x14ac:dyDescent="0.25">
      <c r="R672" s="15"/>
      <c r="U672" s="4"/>
      <c r="V672" s="5"/>
      <c r="W672" s="17"/>
    </row>
    <row r="673" spans="18:23" x14ac:dyDescent="0.25">
      <c r="R673" s="15"/>
      <c r="U673" s="4"/>
      <c r="V673" s="5"/>
      <c r="W673" s="17"/>
    </row>
    <row r="674" spans="18:23" x14ac:dyDescent="0.25">
      <c r="R674" s="15"/>
      <c r="U674" s="4"/>
      <c r="V674" s="5"/>
      <c r="W674" s="17"/>
    </row>
    <row r="675" spans="18:23" x14ac:dyDescent="0.25">
      <c r="R675" s="15"/>
      <c r="U675" s="4"/>
      <c r="V675" s="5"/>
      <c r="W675" s="17"/>
    </row>
    <row r="676" spans="18:23" x14ac:dyDescent="0.25">
      <c r="R676" s="15"/>
      <c r="U676" s="4"/>
      <c r="V676" s="5"/>
      <c r="W676" s="17"/>
    </row>
    <row r="677" spans="18:23" x14ac:dyDescent="0.25">
      <c r="R677" s="15"/>
      <c r="U677" s="4"/>
      <c r="V677" s="5"/>
      <c r="W677" s="17"/>
    </row>
    <row r="678" spans="18:23" x14ac:dyDescent="0.25">
      <c r="R678" s="15"/>
      <c r="U678" s="4"/>
      <c r="V678" s="5"/>
      <c r="W678" s="17"/>
    </row>
    <row r="679" spans="18:23" x14ac:dyDescent="0.25">
      <c r="R679" s="15"/>
      <c r="U679" s="4"/>
      <c r="V679" s="5"/>
      <c r="W679" s="17"/>
    </row>
    <row r="680" spans="18:23" x14ac:dyDescent="0.25">
      <c r="R680" s="15"/>
      <c r="U680" s="4"/>
      <c r="V680" s="5"/>
      <c r="W680" s="17"/>
    </row>
    <row r="681" spans="18:23" x14ac:dyDescent="0.25">
      <c r="R681" s="15"/>
      <c r="U681" s="4"/>
      <c r="V681" s="5"/>
      <c r="W681" s="17"/>
    </row>
    <row r="682" spans="18:23" x14ac:dyDescent="0.25">
      <c r="R682" s="15"/>
      <c r="U682" s="4"/>
      <c r="V682" s="5"/>
      <c r="W682" s="17"/>
    </row>
    <row r="683" spans="18:23" x14ac:dyDescent="0.25">
      <c r="R683" s="15"/>
      <c r="U683" s="4"/>
      <c r="V683" s="5"/>
      <c r="W683" s="17"/>
    </row>
    <row r="684" spans="18:23" x14ac:dyDescent="0.25">
      <c r="R684" s="15"/>
      <c r="U684" s="4"/>
      <c r="V684" s="5"/>
      <c r="W684" s="17"/>
    </row>
    <row r="685" spans="18:23" x14ac:dyDescent="0.25">
      <c r="R685" s="15"/>
      <c r="U685" s="4"/>
      <c r="V685" s="5"/>
      <c r="W685" s="17"/>
    </row>
    <row r="686" spans="18:23" x14ac:dyDescent="0.25">
      <c r="R686" s="15"/>
      <c r="U686" s="4"/>
      <c r="V686" s="5"/>
      <c r="W686" s="17"/>
    </row>
    <row r="687" spans="18:23" x14ac:dyDescent="0.25">
      <c r="R687" s="15"/>
      <c r="U687" s="4"/>
      <c r="V687" s="5"/>
      <c r="W687" s="17"/>
    </row>
    <row r="688" spans="18:23" x14ac:dyDescent="0.25">
      <c r="R688" s="15"/>
      <c r="U688" s="4"/>
      <c r="V688" s="5"/>
      <c r="W688" s="17"/>
    </row>
    <row r="689" spans="18:23" x14ac:dyDescent="0.25">
      <c r="R689" s="15"/>
      <c r="U689" s="4"/>
      <c r="V689" s="5"/>
      <c r="W689" s="17"/>
    </row>
    <row r="690" spans="18:23" x14ac:dyDescent="0.25">
      <c r="R690" s="15"/>
      <c r="U690" s="4"/>
      <c r="V690" s="5"/>
      <c r="W690" s="17"/>
    </row>
    <row r="691" spans="18:23" x14ac:dyDescent="0.25">
      <c r="R691" s="15"/>
      <c r="U691" s="4"/>
      <c r="V691" s="5"/>
      <c r="W691" s="17"/>
    </row>
    <row r="692" spans="18:23" x14ac:dyDescent="0.25">
      <c r="R692" s="15"/>
      <c r="U692" s="4"/>
      <c r="V692" s="5"/>
      <c r="W692" s="17"/>
    </row>
    <row r="693" spans="18:23" x14ac:dyDescent="0.25">
      <c r="R693" s="15"/>
      <c r="U693" s="4"/>
      <c r="V693" s="5"/>
      <c r="W693" s="17"/>
    </row>
    <row r="694" spans="18:23" x14ac:dyDescent="0.25">
      <c r="R694" s="15"/>
      <c r="U694" s="4"/>
      <c r="V694" s="5"/>
      <c r="W694" s="17"/>
    </row>
    <row r="695" spans="18:23" x14ac:dyDescent="0.25">
      <c r="R695" s="15"/>
      <c r="U695" s="4"/>
      <c r="V695" s="5"/>
      <c r="W695" s="17"/>
    </row>
    <row r="696" spans="18:23" x14ac:dyDescent="0.25">
      <c r="R696" s="15"/>
      <c r="U696" s="4"/>
      <c r="V696" s="5"/>
      <c r="W696" s="17"/>
    </row>
    <row r="697" spans="18:23" x14ac:dyDescent="0.25">
      <c r="R697" s="15"/>
      <c r="U697" s="4"/>
      <c r="V697" s="5"/>
      <c r="W697" s="17"/>
    </row>
    <row r="698" spans="18:23" x14ac:dyDescent="0.25">
      <c r="R698" s="15"/>
      <c r="U698" s="4"/>
      <c r="V698" s="5"/>
      <c r="W698" s="17"/>
    </row>
    <row r="699" spans="18:23" x14ac:dyDescent="0.25">
      <c r="R699" s="15"/>
      <c r="U699" s="4"/>
      <c r="V699" s="5"/>
      <c r="W699" s="17"/>
    </row>
    <row r="700" spans="18:23" x14ac:dyDescent="0.25">
      <c r="R700" s="15"/>
      <c r="U700" s="4"/>
      <c r="V700" s="5"/>
      <c r="W700" s="17"/>
    </row>
    <row r="701" spans="18:23" x14ac:dyDescent="0.25">
      <c r="R701" s="15"/>
      <c r="U701" s="4"/>
      <c r="V701" s="5"/>
      <c r="W701" s="17"/>
    </row>
    <row r="702" spans="18:23" x14ac:dyDescent="0.25">
      <c r="R702" s="15"/>
      <c r="U702" s="4"/>
      <c r="V702" s="5"/>
      <c r="W702" s="17"/>
    </row>
    <row r="703" spans="18:23" x14ac:dyDescent="0.25">
      <c r="R703" s="15"/>
      <c r="U703" s="4"/>
      <c r="V703" s="5"/>
      <c r="W703" s="17"/>
    </row>
    <row r="704" spans="18:23" x14ac:dyDescent="0.25">
      <c r="R704" s="15"/>
      <c r="U704" s="4"/>
      <c r="V704" s="5"/>
      <c r="W704" s="17"/>
    </row>
    <row r="705" spans="18:23" x14ac:dyDescent="0.25">
      <c r="R705" s="15"/>
      <c r="U705" s="4"/>
      <c r="V705" s="5"/>
      <c r="W705" s="17"/>
    </row>
    <row r="706" spans="18:23" x14ac:dyDescent="0.25">
      <c r="R706" s="15"/>
      <c r="U706" s="4"/>
      <c r="V706" s="5"/>
      <c r="W706" s="17"/>
    </row>
  </sheetData>
  <mergeCells count="2">
    <mergeCell ref="O1:Q1"/>
    <mergeCell ref="A2:E2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F8F0A-EDAB-D94B-BF11-A4A52F419B3A}">
  <dimension ref="A1:W704"/>
  <sheetViews>
    <sheetView tabSelected="1" topLeftCell="A2" zoomScale="77" zoomScaleNormal="10" workbookViewId="0">
      <pane ySplit="1" topLeftCell="A3" activePane="bottomLeft" state="frozen"/>
      <selection activeCell="A2" sqref="A2"/>
      <selection pane="bottomLeft" activeCell="Y21" sqref="Y21"/>
    </sheetView>
  </sheetViews>
  <sheetFormatPr defaultColWidth="11" defaultRowHeight="15.75" x14ac:dyDescent="0.25"/>
  <cols>
    <col min="2" max="2" width="11.125" bestFit="1" customWidth="1"/>
    <col min="3" max="3" width="14.125" bestFit="1" customWidth="1"/>
    <col min="6" max="6" width="10.875" style="3"/>
    <col min="7" max="7" width="15.375" customWidth="1"/>
    <col min="8" max="8" width="30.5" bestFit="1" customWidth="1"/>
    <col min="9" max="10" width="30.5" customWidth="1"/>
    <col min="11" max="11" width="15.875" style="29" bestFit="1" customWidth="1"/>
    <col min="12" max="13" width="11.125" bestFit="1" customWidth="1"/>
    <col min="14" max="14" width="11" style="3" bestFit="1" customWidth="1"/>
    <col min="15" max="19" width="11.125" bestFit="1" customWidth="1"/>
    <col min="20" max="20" width="12.25" bestFit="1" customWidth="1"/>
    <col min="21" max="23" width="11.125" bestFit="1" customWidth="1"/>
  </cols>
  <sheetData>
    <row r="1" spans="1:23" x14ac:dyDescent="0.25">
      <c r="Q1" s="30" t="s">
        <v>0</v>
      </c>
      <c r="S1" s="30" t="s">
        <v>1</v>
      </c>
    </row>
    <row r="2" spans="1:23" s="51" customFormat="1" ht="60" customHeight="1" x14ac:dyDescent="0.25">
      <c r="A2" s="58" t="s">
        <v>57</v>
      </c>
      <c r="B2" s="58"/>
      <c r="C2" s="58"/>
      <c r="D2" s="58"/>
      <c r="E2" s="58"/>
      <c r="F2" s="52"/>
      <c r="G2" s="51" t="s">
        <v>2</v>
      </c>
      <c r="H2" s="51" t="s">
        <v>50</v>
      </c>
      <c r="I2" s="51" t="s">
        <v>55</v>
      </c>
      <c r="J2" s="51" t="s">
        <v>56</v>
      </c>
      <c r="K2" s="51" t="s">
        <v>3</v>
      </c>
      <c r="L2" s="51" t="s">
        <v>4</v>
      </c>
      <c r="M2" s="51" t="s">
        <v>39</v>
      </c>
      <c r="N2" s="52" t="s">
        <v>6</v>
      </c>
      <c r="O2" s="51" t="s">
        <v>7</v>
      </c>
      <c r="P2" s="51" t="s">
        <v>8</v>
      </c>
      <c r="Q2" s="51" t="s">
        <v>40</v>
      </c>
      <c r="R2" s="51" t="s">
        <v>7</v>
      </c>
      <c r="S2" s="53" t="s">
        <v>41</v>
      </c>
      <c r="T2" s="53" t="s">
        <v>42</v>
      </c>
      <c r="U2" s="51" t="s">
        <v>10</v>
      </c>
      <c r="V2" s="51" t="s">
        <v>11</v>
      </c>
      <c r="W2" s="51" t="s">
        <v>43</v>
      </c>
    </row>
    <row r="3" spans="1:23" s="54" customFormat="1" ht="33.950000000000003" customHeight="1" thickBot="1" x14ac:dyDescent="0.3">
      <c r="F3" s="55"/>
      <c r="L3" s="54" t="s">
        <v>13</v>
      </c>
      <c r="N3" s="55"/>
      <c r="O3" s="54" t="s">
        <v>14</v>
      </c>
      <c r="Q3" s="56" t="s">
        <v>15</v>
      </c>
      <c r="R3" s="54" t="s">
        <v>17</v>
      </c>
      <c r="S3" s="54" t="s">
        <v>18</v>
      </c>
      <c r="U3" s="54" t="s">
        <v>19</v>
      </c>
      <c r="V3" s="54" t="s">
        <v>20</v>
      </c>
      <c r="W3" s="54" t="s">
        <v>16</v>
      </c>
    </row>
    <row r="4" spans="1:23" ht="27" thickTop="1" x14ac:dyDescent="0.4">
      <c r="A4" s="2" t="s">
        <v>22</v>
      </c>
      <c r="Q4" s="5"/>
      <c r="V4" s="5"/>
      <c r="W4" s="14"/>
    </row>
    <row r="5" spans="1:23" x14ac:dyDescent="0.25">
      <c r="G5" t="str">
        <f>N2O!G7</f>
        <v>Greenfjord 2024</v>
      </c>
      <c r="H5">
        <v>1</v>
      </c>
      <c r="I5" s="44"/>
      <c r="J5" s="44"/>
      <c r="K5"/>
      <c r="L5">
        <v>9.81</v>
      </c>
      <c r="O5">
        <v>0.39200000000000002</v>
      </c>
      <c r="P5">
        <v>29.116299999999999</v>
      </c>
      <c r="Q5" s="5"/>
      <c r="R5" s="5">
        <f>N2O!R7</f>
        <v>273.54199999999997</v>
      </c>
      <c r="S5">
        <v>1986.65</v>
      </c>
      <c r="T5">
        <f t="shared" ref="T5" si="0">S5*10^-9</f>
        <v>1.9866500000000003E-6</v>
      </c>
      <c r="U5">
        <f>N2O!T7</f>
        <v>1</v>
      </c>
      <c r="V5" s="5">
        <f t="shared" ref="V5:V68" si="1">EXP(LN(T5)+$C$13+($C$14*(100/R5))+($C$15*LN(R5/100))+($C$16*(R5/100))+(P5*($C$17+($C$18*(R5/100))+($C$19*(R5/100)^2))))</f>
        <v>4.0524016816235422</v>
      </c>
      <c r="W5" s="50"/>
    </row>
    <row r="6" spans="1:23" x14ac:dyDescent="0.25">
      <c r="H6">
        <v>1</v>
      </c>
      <c r="I6" s="44"/>
      <c r="J6" s="44"/>
      <c r="K6"/>
      <c r="L6">
        <v>19.87</v>
      </c>
      <c r="O6">
        <v>0.51549999999999996</v>
      </c>
      <c r="P6">
        <v>30.440999999999999</v>
      </c>
      <c r="R6" s="5">
        <f>N2O!R8</f>
        <v>273.66549999999995</v>
      </c>
      <c r="S6">
        <f>S5</f>
        <v>1986.65</v>
      </c>
      <c r="T6">
        <f>T5</f>
        <v>1.9866500000000003E-6</v>
      </c>
      <c r="U6">
        <f>U5</f>
        <v>1</v>
      </c>
      <c r="V6" s="5">
        <f t="shared" si="1"/>
        <v>3.9989755882341349</v>
      </c>
      <c r="W6" s="50"/>
    </row>
    <row r="7" spans="1:23" x14ac:dyDescent="0.25">
      <c r="H7">
        <v>1</v>
      </c>
      <c r="I7" s="44"/>
      <c r="J7" s="44"/>
      <c r="K7"/>
      <c r="L7">
        <v>279.94</v>
      </c>
      <c r="O7">
        <v>3.9495</v>
      </c>
      <c r="P7">
        <v>34.543399999999998</v>
      </c>
      <c r="R7" s="5">
        <f>N2O!R9</f>
        <v>277.09949999999998</v>
      </c>
      <c r="S7">
        <f t="shared" ref="S7:S70" si="2">S6</f>
        <v>1986.65</v>
      </c>
      <c r="T7">
        <f t="shared" ref="T7:T70" si="3">T6</f>
        <v>1.9866500000000003E-6</v>
      </c>
      <c r="U7">
        <f t="shared" ref="U7:U70" si="4">U6</f>
        <v>1</v>
      </c>
      <c r="V7" s="5">
        <f t="shared" si="1"/>
        <v>3.5193513888776629</v>
      </c>
      <c r="W7" s="50"/>
    </row>
    <row r="8" spans="1:23" s="59" customFormat="1" ht="16.5" thickBot="1" x14ac:dyDescent="0.3">
      <c r="F8" s="60"/>
      <c r="H8" s="59">
        <v>1</v>
      </c>
      <c r="L8" s="59">
        <v>2.88</v>
      </c>
      <c r="N8" s="60"/>
      <c r="O8" s="59">
        <v>3.7643</v>
      </c>
      <c r="P8" s="59">
        <v>22.9</v>
      </c>
      <c r="Q8" s="61">
        <v>6.1738480888479108</v>
      </c>
      <c r="R8" s="61">
        <f>N2O!R10</f>
        <v>276.91429999999997</v>
      </c>
      <c r="S8" s="59">
        <f t="shared" si="2"/>
        <v>1986.65</v>
      </c>
      <c r="T8" s="59">
        <f t="shared" si="3"/>
        <v>1.9866500000000003E-6</v>
      </c>
      <c r="U8" s="59">
        <f t="shared" si="4"/>
        <v>1</v>
      </c>
      <c r="V8" s="61">
        <f t="shared" si="1"/>
        <v>3.8388048717177532</v>
      </c>
      <c r="W8" s="62">
        <f t="shared" ref="W8:W69" si="5">(Q8/V8)*100</f>
        <v>160.82734848893983</v>
      </c>
    </row>
    <row r="9" spans="1:23" x14ac:dyDescent="0.25">
      <c r="A9" s="20"/>
      <c r="B9" s="21" t="s">
        <v>44</v>
      </c>
      <c r="C9" s="21"/>
      <c r="D9" s="7"/>
      <c r="E9" s="8"/>
      <c r="H9">
        <v>1</v>
      </c>
      <c r="I9" s="44"/>
      <c r="J9" s="44"/>
      <c r="K9"/>
      <c r="L9">
        <v>45.17</v>
      </c>
      <c r="O9">
        <v>0.9587</v>
      </c>
      <c r="P9">
        <v>31.863600000000002</v>
      </c>
      <c r="Q9" s="5">
        <v>5.4979328057576495</v>
      </c>
      <c r="R9" s="5">
        <f>N2O!R11</f>
        <v>274.1087</v>
      </c>
      <c r="S9">
        <f t="shared" si="2"/>
        <v>1986.65</v>
      </c>
      <c r="T9">
        <f t="shared" si="3"/>
        <v>1.9866500000000003E-6</v>
      </c>
      <c r="U9">
        <f t="shared" si="4"/>
        <v>1</v>
      </c>
      <c r="V9" s="5">
        <f t="shared" si="1"/>
        <v>3.9062746734680913</v>
      </c>
      <c r="W9" s="50">
        <f t="shared" si="5"/>
        <v>140.7461908170539</v>
      </c>
    </row>
    <row r="10" spans="1:23" x14ac:dyDescent="0.25">
      <c r="A10" s="13"/>
      <c r="B10" s="1" t="s">
        <v>45</v>
      </c>
      <c r="C10" s="1"/>
      <c r="E10" s="10"/>
      <c r="H10">
        <v>1</v>
      </c>
      <c r="I10" s="44"/>
      <c r="J10" s="44"/>
      <c r="K10"/>
      <c r="L10">
        <v>45.17</v>
      </c>
      <c r="O10">
        <v>0.9587</v>
      </c>
      <c r="P10">
        <v>31.863600000000002</v>
      </c>
      <c r="Q10" s="5">
        <v>5.4979328057576495</v>
      </c>
      <c r="R10" s="5">
        <f>N2O!R12</f>
        <v>274.1087</v>
      </c>
      <c r="S10">
        <f t="shared" si="2"/>
        <v>1986.65</v>
      </c>
      <c r="T10">
        <f t="shared" si="3"/>
        <v>1.9866500000000003E-6</v>
      </c>
      <c r="U10">
        <f t="shared" si="4"/>
        <v>1</v>
      </c>
      <c r="V10" s="5">
        <f t="shared" si="1"/>
        <v>3.9062746734680913</v>
      </c>
      <c r="W10" s="50">
        <f t="shared" si="5"/>
        <v>140.7461908170539</v>
      </c>
    </row>
    <row r="11" spans="1:23" x14ac:dyDescent="0.25">
      <c r="A11" s="13"/>
      <c r="B11" s="1" t="s">
        <v>25</v>
      </c>
      <c r="C11" s="1" t="s">
        <v>25</v>
      </c>
      <c r="E11" s="10"/>
      <c r="H11">
        <v>1</v>
      </c>
      <c r="I11" s="44"/>
      <c r="J11" s="44"/>
      <c r="K11"/>
      <c r="L11">
        <v>6.2</v>
      </c>
      <c r="O11">
        <v>0.60240000000000005</v>
      </c>
      <c r="P11">
        <v>28.133400000000002</v>
      </c>
      <c r="Q11" s="5">
        <v>7.9771456211541656</v>
      </c>
      <c r="R11" s="5">
        <f>N2O!R13</f>
        <v>273.75239999999997</v>
      </c>
      <c r="S11">
        <f t="shared" si="2"/>
        <v>1986.65</v>
      </c>
      <c r="T11">
        <f t="shared" si="3"/>
        <v>1.9866500000000003E-6</v>
      </c>
      <c r="U11">
        <f t="shared" si="4"/>
        <v>1</v>
      </c>
      <c r="V11" s="5">
        <f t="shared" si="1"/>
        <v>4.0554127461413492</v>
      </c>
      <c r="W11" s="50">
        <f t="shared" si="5"/>
        <v>196.7036679249054</v>
      </c>
    </row>
    <row r="12" spans="1:23" x14ac:dyDescent="0.25">
      <c r="A12" s="13"/>
      <c r="B12" s="1" t="s">
        <v>21</v>
      </c>
      <c r="C12" s="1" t="s">
        <v>20</v>
      </c>
      <c r="E12" s="10"/>
      <c r="H12">
        <v>1</v>
      </c>
      <c r="I12" s="44"/>
      <c r="J12" s="44"/>
      <c r="K12"/>
      <c r="L12">
        <v>309.60000000000002</v>
      </c>
      <c r="O12">
        <v>4.0235000000000003</v>
      </c>
      <c r="P12">
        <v>34.602499999999999</v>
      </c>
      <c r="Q12" s="5">
        <v>5.1351731506729914</v>
      </c>
      <c r="R12" s="5">
        <f>N2O!R14</f>
        <v>277.17349999999999</v>
      </c>
      <c r="S12">
        <f t="shared" si="2"/>
        <v>1986.65</v>
      </c>
      <c r="T12">
        <f t="shared" si="3"/>
        <v>1.9866500000000003E-6</v>
      </c>
      <c r="U12">
        <f t="shared" si="4"/>
        <v>1</v>
      </c>
      <c r="V12" s="5">
        <f t="shared" si="1"/>
        <v>3.5107611105755114</v>
      </c>
      <c r="W12" s="50">
        <f t="shared" si="5"/>
        <v>146.26951219222073</v>
      </c>
    </row>
    <row r="13" spans="1:23" x14ac:dyDescent="0.25">
      <c r="A13" s="13" t="s">
        <v>27</v>
      </c>
      <c r="C13">
        <v>-415.28070000000002</v>
      </c>
      <c r="E13" s="18"/>
      <c r="H13">
        <v>1</v>
      </c>
      <c r="I13" s="44"/>
      <c r="J13" s="44"/>
      <c r="K13"/>
      <c r="L13">
        <v>85.13</v>
      </c>
      <c r="O13">
        <v>9.0499999999999997E-2</v>
      </c>
      <c r="P13">
        <v>32.519799999999996</v>
      </c>
      <c r="Q13" s="5">
        <v>5.8095259445910381</v>
      </c>
      <c r="R13" s="5">
        <f>N2O!R15</f>
        <v>273.2405</v>
      </c>
      <c r="S13">
        <f t="shared" si="2"/>
        <v>1986.65</v>
      </c>
      <c r="T13">
        <f t="shared" si="3"/>
        <v>1.9866500000000003E-6</v>
      </c>
      <c r="U13">
        <f t="shared" si="4"/>
        <v>1</v>
      </c>
      <c r="V13" s="5">
        <f t="shared" si="1"/>
        <v>3.9901605030440659</v>
      </c>
      <c r="W13" s="50">
        <f t="shared" si="5"/>
        <v>145.59629719553863</v>
      </c>
    </row>
    <row r="14" spans="1:23" x14ac:dyDescent="0.25">
      <c r="A14" s="13" t="s">
        <v>28</v>
      </c>
      <c r="C14">
        <v>596.81039999999996</v>
      </c>
      <c r="E14" s="18"/>
      <c r="H14">
        <v>2</v>
      </c>
      <c r="I14" s="44"/>
      <c r="J14" s="44"/>
      <c r="K14"/>
      <c r="L14">
        <v>15.13</v>
      </c>
      <c r="O14">
        <v>0.35499999999999998</v>
      </c>
      <c r="P14">
        <v>29.889900000000001</v>
      </c>
      <c r="Q14" s="5">
        <v>5.8036442754823367</v>
      </c>
      <c r="R14" s="5">
        <f>N2O!R16</f>
        <v>273.505</v>
      </c>
      <c r="S14">
        <f t="shared" si="2"/>
        <v>1986.65</v>
      </c>
      <c r="T14">
        <f t="shared" si="3"/>
        <v>1.9866500000000003E-6</v>
      </c>
      <c r="U14">
        <f t="shared" si="4"/>
        <v>1</v>
      </c>
      <c r="V14" s="5">
        <f t="shared" si="1"/>
        <v>4.0343465538261469</v>
      </c>
      <c r="W14" s="50">
        <f t="shared" si="5"/>
        <v>143.8558685539347</v>
      </c>
    </row>
    <row r="15" spans="1:23" x14ac:dyDescent="0.25">
      <c r="A15" s="13" t="s">
        <v>29</v>
      </c>
      <c r="C15">
        <v>379.25990000000002</v>
      </c>
      <c r="E15" s="18"/>
      <c r="H15">
        <v>2</v>
      </c>
      <c r="K15"/>
      <c r="L15">
        <v>1.93</v>
      </c>
      <c r="O15">
        <v>2.2101000000000002</v>
      </c>
      <c r="P15">
        <v>20.6037</v>
      </c>
      <c r="R15" s="5">
        <f>N2O!R17</f>
        <v>275.36009999999999</v>
      </c>
      <c r="S15">
        <f t="shared" si="2"/>
        <v>1986.65</v>
      </c>
      <c r="T15">
        <f t="shared" si="3"/>
        <v>1.9866500000000003E-6</v>
      </c>
      <c r="U15">
        <f t="shared" si="4"/>
        <v>1</v>
      </c>
      <c r="V15" s="5">
        <f t="shared" si="1"/>
        <v>4.0801469607012288</v>
      </c>
      <c r="W15" s="50"/>
    </row>
    <row r="16" spans="1:23" x14ac:dyDescent="0.25">
      <c r="A16" s="13" t="s">
        <v>30</v>
      </c>
      <c r="C16">
        <v>-62.075699999999998</v>
      </c>
      <c r="E16" s="18"/>
      <c r="H16">
        <v>2</v>
      </c>
      <c r="K16"/>
      <c r="L16">
        <v>300.38</v>
      </c>
      <c r="O16">
        <v>3.9741</v>
      </c>
      <c r="P16">
        <v>34.5762</v>
      </c>
      <c r="Q16" s="5">
        <v>5.550364959059678</v>
      </c>
      <c r="R16" s="5">
        <f>N2O!R18</f>
        <v>277.1241</v>
      </c>
      <c r="S16">
        <f t="shared" si="2"/>
        <v>1986.65</v>
      </c>
      <c r="T16">
        <f t="shared" si="3"/>
        <v>1.9866500000000003E-6</v>
      </c>
      <c r="U16">
        <f t="shared" si="4"/>
        <v>1</v>
      </c>
      <c r="V16" s="5">
        <f t="shared" si="1"/>
        <v>3.5161674627436268</v>
      </c>
      <c r="W16" s="50">
        <f t="shared" si="5"/>
        <v>157.85269097305138</v>
      </c>
    </row>
    <row r="17" spans="1:23" x14ac:dyDescent="0.25">
      <c r="A17" s="13" t="s">
        <v>32</v>
      </c>
      <c r="C17">
        <v>-5.9159999999999997E-2</v>
      </c>
      <c r="E17" s="18"/>
      <c r="H17">
        <v>2</v>
      </c>
      <c r="K17"/>
      <c r="L17">
        <v>39.92</v>
      </c>
      <c r="O17">
        <v>1.3149</v>
      </c>
      <c r="P17">
        <v>31.776800000000001</v>
      </c>
      <c r="R17" s="5">
        <f>N2O!R19</f>
        <v>274.4649</v>
      </c>
      <c r="S17">
        <f t="shared" si="2"/>
        <v>1986.65</v>
      </c>
      <c r="T17">
        <f t="shared" si="3"/>
        <v>1.9866500000000003E-6</v>
      </c>
      <c r="U17">
        <f t="shared" si="4"/>
        <v>1</v>
      </c>
      <c r="V17" s="5">
        <f t="shared" si="1"/>
        <v>3.8678501525288191</v>
      </c>
      <c r="W17" s="50"/>
    </row>
    <row r="18" spans="1:23" x14ac:dyDescent="0.25">
      <c r="A18" s="13" t="s">
        <v>33</v>
      </c>
      <c r="C18">
        <v>3.2174000000000001E-2</v>
      </c>
      <c r="E18" s="18"/>
      <c r="H18">
        <v>2</v>
      </c>
      <c r="K18"/>
      <c r="L18">
        <v>5.92</v>
      </c>
      <c r="O18">
        <v>0.59079999999999999</v>
      </c>
      <c r="P18">
        <v>27.176100000000002</v>
      </c>
      <c r="Q18" s="5">
        <v>7.4071938955890371</v>
      </c>
      <c r="R18" s="5">
        <f>N2O!R20</f>
        <v>273.74079999999998</v>
      </c>
      <c r="S18">
        <f t="shared" si="2"/>
        <v>1986.65</v>
      </c>
      <c r="T18">
        <f t="shared" si="3"/>
        <v>1.9866500000000003E-6</v>
      </c>
      <c r="U18">
        <f t="shared" si="4"/>
        <v>1</v>
      </c>
      <c r="V18" s="5">
        <f t="shared" si="1"/>
        <v>4.0849006370083938</v>
      </c>
      <c r="W18" s="50">
        <f t="shared" si="5"/>
        <v>181.33106662329362</v>
      </c>
    </row>
    <row r="19" spans="1:23" x14ac:dyDescent="0.25">
      <c r="A19" s="13" t="s">
        <v>34</v>
      </c>
      <c r="C19">
        <v>-4.8198E-3</v>
      </c>
      <c r="E19" s="18"/>
      <c r="H19">
        <v>2</v>
      </c>
      <c r="K19"/>
      <c r="L19">
        <v>90.07</v>
      </c>
      <c r="O19">
        <v>3.3999999999999998E-3</v>
      </c>
      <c r="P19">
        <v>32.5199</v>
      </c>
      <c r="R19" s="5">
        <f>N2O!R21</f>
        <v>273.15339999999998</v>
      </c>
      <c r="S19">
        <f t="shared" si="2"/>
        <v>1986.65</v>
      </c>
      <c r="T19">
        <f t="shared" si="3"/>
        <v>1.9866500000000003E-6</v>
      </c>
      <c r="U19">
        <f t="shared" si="4"/>
        <v>1</v>
      </c>
      <c r="V19" s="5">
        <f t="shared" si="1"/>
        <v>4.0006850734555162</v>
      </c>
      <c r="W19" s="50"/>
    </row>
    <row r="20" spans="1:23" ht="16.5" thickBot="1" x14ac:dyDescent="0.3">
      <c r="A20" s="24" t="s">
        <v>46</v>
      </c>
      <c r="B20" s="11"/>
      <c r="C20" s="11">
        <v>1.8953000000000001E-6</v>
      </c>
      <c r="D20" s="11"/>
      <c r="E20" s="12"/>
      <c r="H20">
        <v>3</v>
      </c>
      <c r="K20"/>
      <c r="L20">
        <v>9.89</v>
      </c>
      <c r="O20">
        <v>0.2225</v>
      </c>
      <c r="P20">
        <v>29.1919</v>
      </c>
      <c r="Q20" s="5">
        <v>7.7965131499295932</v>
      </c>
      <c r="R20" s="5">
        <f>N2O!R22</f>
        <v>273.3725</v>
      </c>
      <c r="S20">
        <f t="shared" si="2"/>
        <v>1986.65</v>
      </c>
      <c r="T20">
        <f t="shared" si="3"/>
        <v>1.9866500000000003E-6</v>
      </c>
      <c r="U20">
        <f t="shared" si="4"/>
        <v>1</v>
      </c>
      <c r="V20" s="5">
        <f t="shared" si="1"/>
        <v>4.0710140128513004</v>
      </c>
      <c r="W20" s="50">
        <f t="shared" si="5"/>
        <v>191.51280553979197</v>
      </c>
    </row>
    <row r="21" spans="1:23" x14ac:dyDescent="0.25">
      <c r="H21">
        <v>3</v>
      </c>
      <c r="I21" s="44"/>
      <c r="J21" s="44"/>
      <c r="K21"/>
      <c r="L21">
        <v>175.03</v>
      </c>
      <c r="O21">
        <v>1.3925000000000001</v>
      </c>
      <c r="P21">
        <v>33.594700000000003</v>
      </c>
      <c r="R21" s="5">
        <f>N2O!R23</f>
        <v>274.54249999999996</v>
      </c>
      <c r="S21">
        <f t="shared" si="2"/>
        <v>1986.65</v>
      </c>
      <c r="T21">
        <f t="shared" si="3"/>
        <v>1.9866500000000003E-6</v>
      </c>
      <c r="U21">
        <f t="shared" si="4"/>
        <v>1</v>
      </c>
      <c r="V21" s="5">
        <f t="shared" si="1"/>
        <v>3.8091658831909316</v>
      </c>
      <c r="W21" s="50"/>
    </row>
    <row r="22" spans="1:23" x14ac:dyDescent="0.25">
      <c r="H22">
        <v>3</v>
      </c>
      <c r="I22" s="44"/>
      <c r="J22" s="44"/>
      <c r="K22"/>
      <c r="L22">
        <v>249.97</v>
      </c>
      <c r="O22">
        <v>3.5333000000000001</v>
      </c>
      <c r="P22">
        <v>34.361499999999999</v>
      </c>
      <c r="R22" s="5">
        <f>N2O!R24</f>
        <v>276.68329999999997</v>
      </c>
      <c r="S22">
        <f t="shared" si="2"/>
        <v>1986.65</v>
      </c>
      <c r="T22">
        <f t="shared" si="3"/>
        <v>1.9866500000000003E-6</v>
      </c>
      <c r="U22">
        <f t="shared" si="4"/>
        <v>1</v>
      </c>
      <c r="V22" s="5">
        <f t="shared" si="1"/>
        <v>3.5645466618603199</v>
      </c>
      <c r="W22" s="50"/>
    </row>
    <row r="23" spans="1:23" x14ac:dyDescent="0.25">
      <c r="H23">
        <v>3</v>
      </c>
      <c r="I23" s="44"/>
      <c r="J23" s="44"/>
      <c r="K23"/>
      <c r="L23">
        <v>3.08</v>
      </c>
      <c r="O23">
        <v>1.2716000000000001</v>
      </c>
      <c r="P23">
        <v>23.1983</v>
      </c>
      <c r="Q23" s="5">
        <v>9.2961195052619114</v>
      </c>
      <c r="R23" s="5">
        <f>N2O!R25</f>
        <v>274.42159999999996</v>
      </c>
      <c r="S23">
        <f t="shared" si="2"/>
        <v>1986.65</v>
      </c>
      <c r="T23">
        <f t="shared" si="3"/>
        <v>1.9866500000000003E-6</v>
      </c>
      <c r="U23">
        <f t="shared" si="4"/>
        <v>1</v>
      </c>
      <c r="V23" s="5">
        <f t="shared" si="1"/>
        <v>4.118253899516616</v>
      </c>
      <c r="W23" s="50">
        <f t="shared" si="5"/>
        <v>225.72963523091795</v>
      </c>
    </row>
    <row r="24" spans="1:23" x14ac:dyDescent="0.25">
      <c r="H24">
        <v>3</v>
      </c>
      <c r="I24" s="44"/>
      <c r="J24" s="44"/>
      <c r="K24"/>
      <c r="L24">
        <v>34.630000000000003</v>
      </c>
      <c r="O24">
        <v>1.3549</v>
      </c>
      <c r="P24">
        <v>31.489100000000001</v>
      </c>
      <c r="Q24" s="5">
        <v>5.2387018032546964</v>
      </c>
      <c r="R24" s="5">
        <f>N2O!R26</f>
        <v>274.50489999999996</v>
      </c>
      <c r="S24">
        <f t="shared" si="2"/>
        <v>1986.65</v>
      </c>
      <c r="T24">
        <f t="shared" si="3"/>
        <v>1.9866500000000003E-6</v>
      </c>
      <c r="U24">
        <f t="shared" si="4"/>
        <v>1</v>
      </c>
      <c r="V24" s="5">
        <f t="shared" si="1"/>
        <v>3.8712758733112294</v>
      </c>
      <c r="W24" s="50">
        <f t="shared" si="5"/>
        <v>135.32235817577791</v>
      </c>
    </row>
    <row r="25" spans="1:23" x14ac:dyDescent="0.25">
      <c r="H25">
        <v>3</v>
      </c>
      <c r="I25" s="44"/>
      <c r="J25" s="44"/>
      <c r="K25"/>
      <c r="L25">
        <v>550.16</v>
      </c>
      <c r="O25">
        <v>4.3803000000000001</v>
      </c>
      <c r="P25">
        <v>34.722900000000003</v>
      </c>
      <c r="R25" s="5">
        <f>N2O!R27</f>
        <v>277.53029999999995</v>
      </c>
      <c r="S25">
        <f t="shared" si="2"/>
        <v>1986.65</v>
      </c>
      <c r="T25">
        <f t="shared" si="3"/>
        <v>1.9866500000000003E-6</v>
      </c>
      <c r="U25">
        <f t="shared" si="4"/>
        <v>1</v>
      </c>
      <c r="V25" s="5">
        <f t="shared" si="1"/>
        <v>3.4738214628737523</v>
      </c>
      <c r="W25" s="50"/>
    </row>
    <row r="26" spans="1:23" x14ac:dyDescent="0.25">
      <c r="H26">
        <v>3</v>
      </c>
      <c r="I26" s="44"/>
      <c r="J26" s="44"/>
      <c r="K26"/>
      <c r="L26">
        <v>85.38</v>
      </c>
      <c r="O26">
        <v>0.1583</v>
      </c>
      <c r="P26">
        <v>32.460799999999999</v>
      </c>
      <c r="Q26" s="5">
        <v>6.6943229045241699</v>
      </c>
      <c r="R26" s="5">
        <f>N2O!R28</f>
        <v>273.30829999999997</v>
      </c>
      <c r="S26">
        <f t="shared" si="2"/>
        <v>1986.65</v>
      </c>
      <c r="T26">
        <f t="shared" si="3"/>
        <v>1.9866500000000003E-6</v>
      </c>
      <c r="U26">
        <f t="shared" si="4"/>
        <v>1</v>
      </c>
      <c r="V26" s="5">
        <f t="shared" si="1"/>
        <v>3.9836990124597293</v>
      </c>
      <c r="W26" s="50">
        <f t="shared" si="5"/>
        <v>168.04288887253983</v>
      </c>
    </row>
    <row r="27" spans="1:23" x14ac:dyDescent="0.25">
      <c r="H27">
        <v>4</v>
      </c>
      <c r="I27" s="44"/>
      <c r="J27" s="44"/>
      <c r="K27"/>
      <c r="L27">
        <v>2.0499999999999998</v>
      </c>
      <c r="O27">
        <v>4.1075999999999997</v>
      </c>
      <c r="P27">
        <v>18.4008</v>
      </c>
      <c r="Q27" s="5">
        <v>6.3316052183999458</v>
      </c>
      <c r="R27" s="5">
        <f>N2O!R29</f>
        <v>277.25759999999997</v>
      </c>
      <c r="S27">
        <f t="shared" si="2"/>
        <v>1986.65</v>
      </c>
      <c r="T27">
        <f t="shared" si="3"/>
        <v>1.9866500000000003E-6</v>
      </c>
      <c r="U27">
        <f t="shared" si="4"/>
        <v>1</v>
      </c>
      <c r="V27" s="5">
        <f t="shared" si="1"/>
        <v>3.9237061541681766</v>
      </c>
      <c r="W27" s="50">
        <f t="shared" si="5"/>
        <v>161.36797633721486</v>
      </c>
    </row>
    <row r="28" spans="1:23" x14ac:dyDescent="0.25">
      <c r="H28">
        <v>4</v>
      </c>
      <c r="I28" s="44"/>
      <c r="J28" s="44"/>
      <c r="K28"/>
      <c r="L28">
        <v>20.09</v>
      </c>
      <c r="O28">
        <v>0.48080000000000001</v>
      </c>
      <c r="P28">
        <v>30.383700000000001</v>
      </c>
      <c r="R28" s="5">
        <f>N2O!R30</f>
        <v>273.63079999999997</v>
      </c>
      <c r="S28">
        <f t="shared" si="2"/>
        <v>1986.65</v>
      </c>
      <c r="T28">
        <f t="shared" si="3"/>
        <v>1.9866500000000003E-6</v>
      </c>
      <c r="U28">
        <f t="shared" si="4"/>
        <v>1</v>
      </c>
      <c r="V28" s="5">
        <f t="shared" si="1"/>
        <v>4.0048003643289816</v>
      </c>
      <c r="W28" s="50"/>
    </row>
    <row r="29" spans="1:23" x14ac:dyDescent="0.25">
      <c r="H29">
        <v>4</v>
      </c>
      <c r="I29" s="44"/>
      <c r="J29" s="44"/>
      <c r="K29"/>
      <c r="L29">
        <v>249.58</v>
      </c>
      <c r="O29">
        <v>3.5783</v>
      </c>
      <c r="P29">
        <v>34.378100000000003</v>
      </c>
      <c r="Q29" s="5">
        <v>5.0883625432139938</v>
      </c>
      <c r="R29" s="5">
        <f>N2O!R31</f>
        <v>276.72829999999999</v>
      </c>
      <c r="S29">
        <f t="shared" si="2"/>
        <v>1986.65</v>
      </c>
      <c r="T29">
        <f t="shared" si="3"/>
        <v>1.9866500000000003E-6</v>
      </c>
      <c r="U29">
        <f t="shared" si="4"/>
        <v>1</v>
      </c>
      <c r="V29" s="5">
        <f t="shared" si="1"/>
        <v>3.5596884804150113</v>
      </c>
      <c r="W29" s="50">
        <f t="shared" si="5"/>
        <v>142.94404050268918</v>
      </c>
    </row>
    <row r="30" spans="1:23" x14ac:dyDescent="0.25">
      <c r="H30">
        <v>4</v>
      </c>
      <c r="I30" s="44"/>
      <c r="J30" s="44"/>
      <c r="K30"/>
      <c r="L30">
        <v>34.380000000000003</v>
      </c>
      <c r="O30">
        <v>1.1226</v>
      </c>
      <c r="P30">
        <v>31.4207</v>
      </c>
      <c r="Q30" s="5">
        <v>6.0232306406030522</v>
      </c>
      <c r="R30" s="5">
        <f>N2O!R32</f>
        <v>274.27259999999995</v>
      </c>
      <c r="S30">
        <f t="shared" si="2"/>
        <v>1986.65</v>
      </c>
      <c r="T30">
        <f t="shared" si="3"/>
        <v>1.9866500000000003E-6</v>
      </c>
      <c r="U30">
        <f t="shared" si="4"/>
        <v>1</v>
      </c>
      <c r="V30" s="5">
        <f t="shared" si="1"/>
        <v>3.8997603308954409</v>
      </c>
      <c r="W30" s="50">
        <f t="shared" si="5"/>
        <v>154.45130288865809</v>
      </c>
    </row>
    <row r="31" spans="1:23" x14ac:dyDescent="0.25">
      <c r="H31">
        <v>4</v>
      </c>
      <c r="K31"/>
      <c r="L31">
        <v>546.44000000000005</v>
      </c>
      <c r="O31">
        <v>4.4084000000000003</v>
      </c>
      <c r="P31">
        <v>34.728000000000002</v>
      </c>
      <c r="Q31" s="5">
        <v>4.7375221985827487</v>
      </c>
      <c r="R31" s="5">
        <f>N2O!R33</f>
        <v>277.55840000000001</v>
      </c>
      <c r="S31">
        <f t="shared" si="2"/>
        <v>1986.65</v>
      </c>
      <c r="T31">
        <f t="shared" si="3"/>
        <v>1.9866500000000003E-6</v>
      </c>
      <c r="U31">
        <f t="shared" si="4"/>
        <v>1</v>
      </c>
      <c r="V31" s="5">
        <f t="shared" si="1"/>
        <v>3.4710476338325833</v>
      </c>
      <c r="W31" s="50">
        <f t="shared" si="5"/>
        <v>136.48681027611764</v>
      </c>
    </row>
    <row r="32" spans="1:23" x14ac:dyDescent="0.25">
      <c r="H32">
        <v>4</v>
      </c>
      <c r="K32"/>
      <c r="L32">
        <v>5.93</v>
      </c>
      <c r="O32">
        <v>0.88060000000000005</v>
      </c>
      <c r="P32">
        <v>27.480799999999999</v>
      </c>
      <c r="Q32" s="5">
        <v>8.3280678169716111</v>
      </c>
      <c r="R32" s="5">
        <f>N2O!R34</f>
        <v>274.03059999999999</v>
      </c>
      <c r="S32">
        <f t="shared" si="2"/>
        <v>1986.65</v>
      </c>
      <c r="T32">
        <f t="shared" si="3"/>
        <v>1.9866500000000003E-6</v>
      </c>
      <c r="U32">
        <f t="shared" si="4"/>
        <v>1</v>
      </c>
      <c r="V32" s="5">
        <f t="shared" si="1"/>
        <v>4.0406173074025835</v>
      </c>
      <c r="W32" s="50">
        <f t="shared" si="5"/>
        <v>206.10879930930938</v>
      </c>
    </row>
    <row r="33" spans="8:23" x14ac:dyDescent="0.25">
      <c r="H33">
        <v>4</v>
      </c>
      <c r="K33"/>
      <c r="L33">
        <v>70.33</v>
      </c>
      <c r="O33">
        <v>0.32219999999999999</v>
      </c>
      <c r="P33">
        <v>32.322200000000002</v>
      </c>
      <c r="Q33" s="5">
        <v>5.8547257921936247</v>
      </c>
      <c r="R33" s="5">
        <f>N2O!R35</f>
        <v>273.47219999999999</v>
      </c>
      <c r="S33">
        <f t="shared" si="2"/>
        <v>1986.65</v>
      </c>
      <c r="T33">
        <f t="shared" si="3"/>
        <v>1.9866500000000003E-6</v>
      </c>
      <c r="U33">
        <f t="shared" si="4"/>
        <v>1</v>
      </c>
      <c r="V33" s="5">
        <f t="shared" si="1"/>
        <v>3.9680547256771321</v>
      </c>
      <c r="W33" s="50">
        <f t="shared" si="5"/>
        <v>147.54649814449169</v>
      </c>
    </row>
    <row r="34" spans="8:23" x14ac:dyDescent="0.25">
      <c r="H34">
        <v>6</v>
      </c>
      <c r="K34"/>
      <c r="L34">
        <v>99.83</v>
      </c>
      <c r="O34">
        <v>0.68479999999999996</v>
      </c>
      <c r="P34">
        <v>31.559899999999999</v>
      </c>
      <c r="R34" s="5">
        <f>N2O!R36</f>
        <v>273.83479999999997</v>
      </c>
      <c r="S34">
        <f t="shared" si="2"/>
        <v>1986.65</v>
      </c>
      <c r="T34">
        <f t="shared" si="3"/>
        <v>1.9866500000000003E-6</v>
      </c>
      <c r="U34">
        <f t="shared" si="4"/>
        <v>1</v>
      </c>
      <c r="V34" s="5">
        <f t="shared" si="1"/>
        <v>3.9468243711751558</v>
      </c>
      <c r="W34" s="50"/>
    </row>
    <row r="35" spans="8:23" x14ac:dyDescent="0.25">
      <c r="H35">
        <v>6</v>
      </c>
      <c r="K35"/>
      <c r="L35">
        <v>169.72</v>
      </c>
      <c r="O35">
        <v>-3.9199999999999999E-2</v>
      </c>
      <c r="P35">
        <v>32.819899999999997</v>
      </c>
      <c r="Q35" s="5">
        <v>6.8741497861478393</v>
      </c>
      <c r="R35" s="5">
        <f>N2O!R37</f>
        <v>273.11079999999998</v>
      </c>
      <c r="S35">
        <f t="shared" si="2"/>
        <v>1986.65</v>
      </c>
      <c r="T35">
        <f t="shared" si="3"/>
        <v>1.9866500000000003E-6</v>
      </c>
      <c r="U35">
        <f t="shared" si="4"/>
        <v>1</v>
      </c>
      <c r="V35" s="5">
        <f t="shared" si="1"/>
        <v>3.9971610494585659</v>
      </c>
      <c r="W35" s="50">
        <f t="shared" si="5"/>
        <v>171.97580235299688</v>
      </c>
    </row>
    <row r="36" spans="8:23" x14ac:dyDescent="0.25">
      <c r="H36">
        <v>6</v>
      </c>
      <c r="K36"/>
      <c r="L36">
        <v>19.54</v>
      </c>
      <c r="O36">
        <v>0.71879999999999999</v>
      </c>
      <c r="P36">
        <v>29.401299999999999</v>
      </c>
      <c r="Q36" s="5">
        <v>7.4063600773796052</v>
      </c>
      <c r="R36" s="5">
        <f>N2O!R38</f>
        <v>273.86879999999996</v>
      </c>
      <c r="S36">
        <f t="shared" si="2"/>
        <v>1986.65</v>
      </c>
      <c r="T36">
        <f t="shared" si="3"/>
        <v>1.9866500000000003E-6</v>
      </c>
      <c r="U36">
        <f t="shared" si="4"/>
        <v>1</v>
      </c>
      <c r="V36" s="5">
        <f t="shared" si="1"/>
        <v>4.0045464431101863</v>
      </c>
      <c r="W36" s="50">
        <f t="shared" si="5"/>
        <v>184.9487871497216</v>
      </c>
    </row>
    <row r="37" spans="8:23" x14ac:dyDescent="0.25">
      <c r="H37">
        <v>6</v>
      </c>
      <c r="I37" s="44"/>
      <c r="J37" s="44"/>
      <c r="K37"/>
      <c r="L37">
        <v>3.16</v>
      </c>
      <c r="O37">
        <v>0.85470000000000002</v>
      </c>
      <c r="P37">
        <v>28.783999999999999</v>
      </c>
      <c r="Q37" s="5">
        <v>7.2274973440090644</v>
      </c>
      <c r="R37" s="5">
        <f>N2O!R39</f>
        <v>274.00469999999996</v>
      </c>
      <c r="S37">
        <f t="shared" si="2"/>
        <v>1986.65</v>
      </c>
      <c r="T37">
        <f t="shared" si="3"/>
        <v>1.9866500000000003E-6</v>
      </c>
      <c r="U37">
        <f t="shared" si="4"/>
        <v>1</v>
      </c>
      <c r="V37" s="5">
        <f t="shared" si="1"/>
        <v>4.0060489431937176</v>
      </c>
      <c r="W37" s="50">
        <f t="shared" si="5"/>
        <v>180.41460417723033</v>
      </c>
    </row>
    <row r="38" spans="8:23" x14ac:dyDescent="0.25">
      <c r="H38">
        <v>6</v>
      </c>
      <c r="I38" s="44"/>
      <c r="J38" s="44"/>
      <c r="K38"/>
      <c r="L38">
        <v>40.15</v>
      </c>
      <c r="O38">
        <v>0.78969999999999996</v>
      </c>
      <c r="P38">
        <v>30.724699999999999</v>
      </c>
      <c r="R38" s="5">
        <f>N2O!R40</f>
        <v>273.93969999999996</v>
      </c>
      <c r="S38">
        <f t="shared" si="2"/>
        <v>1986.65</v>
      </c>
      <c r="T38">
        <f t="shared" si="3"/>
        <v>1.9866500000000003E-6</v>
      </c>
      <c r="U38">
        <f t="shared" si="4"/>
        <v>1</v>
      </c>
      <c r="V38" s="5">
        <f t="shared" si="1"/>
        <v>3.9582093916769967</v>
      </c>
      <c r="W38" s="50"/>
    </row>
    <row r="39" spans="8:23" x14ac:dyDescent="0.25">
      <c r="H39">
        <v>6</v>
      </c>
      <c r="I39" s="44"/>
      <c r="J39" s="44"/>
      <c r="K39"/>
      <c r="L39">
        <v>5.81</v>
      </c>
      <c r="O39">
        <v>0.83240000000000003</v>
      </c>
      <c r="P39">
        <v>28.851700000000001</v>
      </c>
      <c r="Q39" s="5">
        <v>7.3999474941494823</v>
      </c>
      <c r="R39" s="5">
        <f>N2O!R41</f>
        <v>273.98239999999998</v>
      </c>
      <c r="S39">
        <f t="shared" si="2"/>
        <v>1986.65</v>
      </c>
      <c r="T39">
        <f t="shared" si="3"/>
        <v>1.9866500000000003E-6</v>
      </c>
      <c r="U39">
        <f t="shared" si="4"/>
        <v>1</v>
      </c>
      <c r="V39" s="5">
        <f t="shared" si="1"/>
        <v>4.0067689262328576</v>
      </c>
      <c r="W39" s="50">
        <f t="shared" si="5"/>
        <v>184.68615561284372</v>
      </c>
    </row>
    <row r="40" spans="8:23" x14ac:dyDescent="0.25">
      <c r="H40">
        <v>7</v>
      </c>
      <c r="I40" s="44"/>
      <c r="J40" s="44"/>
      <c r="K40"/>
      <c r="L40">
        <v>99.99</v>
      </c>
      <c r="O40">
        <v>0.66579999999999995</v>
      </c>
      <c r="P40">
        <v>31.569900000000001</v>
      </c>
      <c r="R40" s="5">
        <f>N2O!R42</f>
        <v>273.81579999999997</v>
      </c>
      <c r="S40">
        <f t="shared" si="2"/>
        <v>1986.65</v>
      </c>
      <c r="T40">
        <f t="shared" si="3"/>
        <v>1.9866500000000003E-6</v>
      </c>
      <c r="U40">
        <f t="shared" si="4"/>
        <v>1</v>
      </c>
      <c r="V40" s="5">
        <f t="shared" si="1"/>
        <v>3.9487788929205716</v>
      </c>
      <c r="W40" s="50"/>
    </row>
    <row r="41" spans="8:23" x14ac:dyDescent="0.25">
      <c r="H41">
        <v>7</v>
      </c>
      <c r="I41" s="44"/>
      <c r="J41" s="44"/>
      <c r="K41"/>
      <c r="L41">
        <v>2.99</v>
      </c>
      <c r="O41">
        <v>0.85899999999999999</v>
      </c>
      <c r="P41">
        <v>28.582899999999999</v>
      </c>
      <c r="R41" s="5">
        <f>N2O!R43</f>
        <v>274.00899999999996</v>
      </c>
      <c r="S41">
        <f t="shared" si="2"/>
        <v>1986.65</v>
      </c>
      <c r="T41">
        <f t="shared" si="3"/>
        <v>1.9866500000000003E-6</v>
      </c>
      <c r="U41">
        <f t="shared" si="4"/>
        <v>1</v>
      </c>
      <c r="V41" s="5">
        <f t="shared" si="1"/>
        <v>4.0113284419987298</v>
      </c>
      <c r="W41" s="50"/>
    </row>
    <row r="42" spans="8:23" x14ac:dyDescent="0.25">
      <c r="H42">
        <v>7</v>
      </c>
      <c r="I42" s="44"/>
      <c r="J42" s="44"/>
      <c r="K42"/>
      <c r="L42">
        <v>30.07</v>
      </c>
      <c r="O42">
        <v>0.72109999999999996</v>
      </c>
      <c r="P42">
        <v>29.625800000000002</v>
      </c>
      <c r="R42" s="5">
        <f>N2O!R44</f>
        <v>273.87109999999996</v>
      </c>
      <c r="S42">
        <f t="shared" si="2"/>
        <v>1986.65</v>
      </c>
      <c r="T42">
        <f t="shared" si="3"/>
        <v>1.9866500000000003E-6</v>
      </c>
      <c r="U42">
        <f t="shared" si="4"/>
        <v>1</v>
      </c>
      <c r="V42" s="5">
        <f t="shared" si="1"/>
        <v>3.9978071938760102</v>
      </c>
      <c r="W42" s="50"/>
    </row>
    <row r="43" spans="8:23" x14ac:dyDescent="0.25">
      <c r="H43">
        <v>7</v>
      </c>
      <c r="I43" s="44"/>
      <c r="J43" s="44"/>
      <c r="K43"/>
      <c r="L43">
        <v>6.07</v>
      </c>
      <c r="O43">
        <v>0.82089999999999996</v>
      </c>
      <c r="P43">
        <v>28.6599</v>
      </c>
      <c r="R43" s="5">
        <f>N2O!R45</f>
        <v>273.97089999999997</v>
      </c>
      <c r="S43">
        <f t="shared" si="2"/>
        <v>1986.65</v>
      </c>
      <c r="T43">
        <f t="shared" si="3"/>
        <v>1.9866500000000003E-6</v>
      </c>
      <c r="U43">
        <f t="shared" si="4"/>
        <v>1</v>
      </c>
      <c r="V43" s="5">
        <f t="shared" si="1"/>
        <v>4.0136778218430624</v>
      </c>
      <c r="W43" s="50"/>
    </row>
    <row r="44" spans="8:23" x14ac:dyDescent="0.25">
      <c r="H44">
        <v>7</v>
      </c>
      <c r="I44" s="44"/>
      <c r="J44" s="44"/>
      <c r="K44"/>
      <c r="L44">
        <v>74.95</v>
      </c>
      <c r="O44">
        <v>0.78979999999999995</v>
      </c>
      <c r="P44">
        <v>31.3368</v>
      </c>
      <c r="R44" s="5">
        <f>N2O!R46</f>
        <v>273.93979999999999</v>
      </c>
      <c r="S44">
        <f t="shared" si="2"/>
        <v>1986.65</v>
      </c>
      <c r="T44">
        <f t="shared" si="3"/>
        <v>1.9866500000000003E-6</v>
      </c>
      <c r="U44">
        <f t="shared" si="4"/>
        <v>1</v>
      </c>
      <c r="V44" s="5">
        <f t="shared" si="1"/>
        <v>3.9408114045647662</v>
      </c>
      <c r="W44" s="50"/>
    </row>
    <row r="45" spans="8:23" x14ac:dyDescent="0.25">
      <c r="H45">
        <v>10</v>
      </c>
      <c r="I45" s="44"/>
      <c r="J45" s="44"/>
      <c r="K45"/>
      <c r="L45">
        <v>150.05000000000001</v>
      </c>
      <c r="O45">
        <v>1.0612999999999999</v>
      </c>
      <c r="P45">
        <v>33.487099999999998</v>
      </c>
      <c r="R45" s="5">
        <f>N2O!R47</f>
        <v>274.21129999999999</v>
      </c>
      <c r="S45">
        <f t="shared" si="2"/>
        <v>1986.65</v>
      </c>
      <c r="T45">
        <f t="shared" si="3"/>
        <v>1.9866500000000003E-6</v>
      </c>
      <c r="U45">
        <f t="shared" si="4"/>
        <v>1</v>
      </c>
      <c r="V45" s="5">
        <f t="shared" si="1"/>
        <v>3.8493251883742987</v>
      </c>
      <c r="W45" s="50"/>
    </row>
    <row r="46" spans="8:23" x14ac:dyDescent="0.25">
      <c r="H46">
        <v>10</v>
      </c>
      <c r="I46" s="44"/>
      <c r="J46" s="44"/>
      <c r="K46"/>
      <c r="L46">
        <v>249.94</v>
      </c>
      <c r="O46">
        <v>3.7065000000000001</v>
      </c>
      <c r="P46">
        <v>34.4495</v>
      </c>
      <c r="R46" s="5">
        <f>N2O!R48</f>
        <v>276.85649999999998</v>
      </c>
      <c r="S46">
        <f t="shared" si="2"/>
        <v>1986.65</v>
      </c>
      <c r="T46">
        <f t="shared" si="3"/>
        <v>1.9866500000000003E-6</v>
      </c>
      <c r="U46">
        <f t="shared" si="4"/>
        <v>1</v>
      </c>
      <c r="V46" s="5">
        <f t="shared" si="1"/>
        <v>3.5453106412000066</v>
      </c>
      <c r="W46" s="50"/>
    </row>
    <row r="47" spans="8:23" x14ac:dyDescent="0.25">
      <c r="H47">
        <v>10</v>
      </c>
      <c r="K47"/>
      <c r="L47">
        <v>2.96</v>
      </c>
      <c r="O47">
        <v>1.3993</v>
      </c>
      <c r="P47">
        <v>25.4056</v>
      </c>
      <c r="Q47" s="5">
        <v>7.8005058689903617</v>
      </c>
      <c r="R47" s="5">
        <f>N2O!R49</f>
        <v>274.54929999999996</v>
      </c>
      <c r="S47">
        <f t="shared" si="2"/>
        <v>1986.65</v>
      </c>
      <c r="T47">
        <f t="shared" si="3"/>
        <v>1.9866500000000003E-6</v>
      </c>
      <c r="U47">
        <f t="shared" si="4"/>
        <v>1</v>
      </c>
      <c r="V47" s="5">
        <f t="shared" si="1"/>
        <v>4.0382841446362425</v>
      </c>
      <c r="W47" s="50">
        <f t="shared" si="5"/>
        <v>193.16386835609879</v>
      </c>
    </row>
    <row r="48" spans="8:23" x14ac:dyDescent="0.25">
      <c r="H48">
        <v>10</v>
      </c>
      <c r="K48"/>
      <c r="L48">
        <v>29.97</v>
      </c>
      <c r="O48">
        <v>0.8377</v>
      </c>
      <c r="P48">
        <v>31.3248</v>
      </c>
      <c r="Q48" s="5">
        <v>6.0821778722004032</v>
      </c>
      <c r="R48" s="5">
        <f>N2O!R50</f>
        <v>273.98769999999996</v>
      </c>
      <c r="S48">
        <f t="shared" si="2"/>
        <v>1986.65</v>
      </c>
      <c r="T48">
        <f t="shared" si="3"/>
        <v>1.9866500000000003E-6</v>
      </c>
      <c r="U48">
        <f t="shared" si="4"/>
        <v>1</v>
      </c>
      <c r="V48" s="5">
        <f t="shared" si="1"/>
        <v>3.9355374313269249</v>
      </c>
      <c r="W48" s="50">
        <f t="shared" si="5"/>
        <v>154.54503935818764</v>
      </c>
    </row>
    <row r="49" spans="8:23" x14ac:dyDescent="0.25">
      <c r="H49">
        <v>10</v>
      </c>
      <c r="K49"/>
      <c r="L49">
        <v>399.91</v>
      </c>
      <c r="O49">
        <v>4.3202999999999996</v>
      </c>
      <c r="P49">
        <v>34.689500000000002</v>
      </c>
      <c r="Q49" s="5">
        <v>5.3139837709133202</v>
      </c>
      <c r="R49" s="5">
        <f>N2O!R51</f>
        <v>277.47029999999995</v>
      </c>
      <c r="S49">
        <f t="shared" si="2"/>
        <v>1986.65</v>
      </c>
      <c r="T49">
        <f t="shared" si="3"/>
        <v>1.9866500000000003E-6</v>
      </c>
      <c r="U49">
        <f t="shared" si="4"/>
        <v>1</v>
      </c>
      <c r="V49" s="5">
        <f t="shared" si="1"/>
        <v>3.4803055006996897</v>
      </c>
      <c r="W49" s="50">
        <f t="shared" si="5"/>
        <v>152.68727902895259</v>
      </c>
    </row>
    <row r="50" spans="8:23" x14ac:dyDescent="0.25">
      <c r="H50">
        <v>10</v>
      </c>
      <c r="K50"/>
      <c r="L50">
        <v>5.95</v>
      </c>
      <c r="O50">
        <v>0.74509999999999998</v>
      </c>
      <c r="P50">
        <v>28.315799999999999</v>
      </c>
      <c r="Q50" s="5">
        <v>7.1795046011896941</v>
      </c>
      <c r="R50" s="5">
        <f>N2O!R52</f>
        <v>273.89509999999996</v>
      </c>
      <c r="S50">
        <f t="shared" si="2"/>
        <v>1986.65</v>
      </c>
      <c r="T50">
        <f t="shared" si="3"/>
        <v>1.9866500000000003E-6</v>
      </c>
      <c r="U50">
        <f t="shared" si="4"/>
        <v>1</v>
      </c>
      <c r="V50" s="5">
        <f t="shared" si="1"/>
        <v>4.0327668794730167</v>
      </c>
      <c r="W50" s="50">
        <f t="shared" si="5"/>
        <v>178.02924929119331</v>
      </c>
    </row>
    <row r="51" spans="8:23" x14ac:dyDescent="0.25">
      <c r="H51">
        <v>12</v>
      </c>
      <c r="K51"/>
      <c r="L51">
        <v>19.940000000000001</v>
      </c>
      <c r="O51">
        <v>0.79390000000000005</v>
      </c>
      <c r="P51">
        <v>30.2563</v>
      </c>
      <c r="Q51" s="5">
        <v>7.2516503839535194</v>
      </c>
      <c r="R51" s="5">
        <f>N2O!R53</f>
        <v>273.94389999999999</v>
      </c>
      <c r="S51">
        <f t="shared" si="2"/>
        <v>1986.65</v>
      </c>
      <c r="T51">
        <f t="shared" si="3"/>
        <v>1.9866500000000003E-6</v>
      </c>
      <c r="U51">
        <f t="shared" si="4"/>
        <v>1</v>
      </c>
      <c r="V51" s="5">
        <f t="shared" si="1"/>
        <v>3.9710680689420332</v>
      </c>
      <c r="W51" s="50">
        <f t="shared" si="5"/>
        <v>182.61208969619841</v>
      </c>
    </row>
    <row r="52" spans="8:23" x14ac:dyDescent="0.25">
      <c r="H52">
        <v>12</v>
      </c>
      <c r="K52"/>
      <c r="L52">
        <v>250.01</v>
      </c>
      <c r="O52">
        <v>3.4792999999999998</v>
      </c>
      <c r="P52">
        <v>34.390099999999997</v>
      </c>
      <c r="Q52" s="5">
        <v>4.4342861652927503</v>
      </c>
      <c r="R52" s="5">
        <f>N2O!R54</f>
        <v>276.6293</v>
      </c>
      <c r="S52">
        <f t="shared" si="2"/>
        <v>1986.65</v>
      </c>
      <c r="T52">
        <f t="shared" si="3"/>
        <v>1.9866500000000003E-6</v>
      </c>
      <c r="U52">
        <f t="shared" si="4"/>
        <v>1</v>
      </c>
      <c r="V52" s="5">
        <f t="shared" si="1"/>
        <v>3.5691723987061446</v>
      </c>
      <c r="W52" s="50">
        <f t="shared" si="5"/>
        <v>124.23849761082477</v>
      </c>
    </row>
    <row r="53" spans="8:23" x14ac:dyDescent="0.25">
      <c r="H53">
        <v>12</v>
      </c>
      <c r="K53"/>
      <c r="L53">
        <v>2.92</v>
      </c>
      <c r="O53">
        <v>4.3794000000000004</v>
      </c>
      <c r="P53">
        <v>25.511299999999999</v>
      </c>
      <c r="Q53" s="5">
        <v>7.1479672614918561</v>
      </c>
      <c r="R53" s="5">
        <f>N2O!R55</f>
        <v>277.52939999999995</v>
      </c>
      <c r="S53">
        <f t="shared" si="2"/>
        <v>1986.65</v>
      </c>
      <c r="T53">
        <f t="shared" si="3"/>
        <v>1.9866500000000003E-6</v>
      </c>
      <c r="U53">
        <f t="shared" si="4"/>
        <v>1</v>
      </c>
      <c r="V53" s="5">
        <f t="shared" si="1"/>
        <v>3.7049815532704051</v>
      </c>
      <c r="W53" s="50">
        <f t="shared" si="5"/>
        <v>192.92855197031443</v>
      </c>
    </row>
    <row r="54" spans="8:23" x14ac:dyDescent="0.25">
      <c r="H54">
        <v>12</v>
      </c>
      <c r="I54" s="44"/>
      <c r="J54" s="44"/>
      <c r="K54"/>
      <c r="L54">
        <v>399.94</v>
      </c>
      <c r="O54">
        <v>4.4653999999999998</v>
      </c>
      <c r="P54">
        <v>34.710599999999999</v>
      </c>
      <c r="Q54" s="5">
        <v>4.6129158365439853</v>
      </c>
      <c r="R54" s="5">
        <f>N2O!R56</f>
        <v>277.61539999999997</v>
      </c>
      <c r="S54">
        <f t="shared" si="2"/>
        <v>1986.65</v>
      </c>
      <c r="T54">
        <f t="shared" si="3"/>
        <v>1.9866500000000003E-6</v>
      </c>
      <c r="U54">
        <f t="shared" si="4"/>
        <v>1</v>
      </c>
      <c r="V54" s="5">
        <f t="shared" si="1"/>
        <v>3.4661050275873473</v>
      </c>
      <c r="W54" s="50">
        <f t="shared" si="5"/>
        <v>133.08644140408231</v>
      </c>
    </row>
    <row r="55" spans="8:23" x14ac:dyDescent="0.25">
      <c r="H55">
        <v>12</v>
      </c>
      <c r="I55" s="44"/>
      <c r="J55" s="44"/>
      <c r="K55"/>
      <c r="L55">
        <v>49.99</v>
      </c>
      <c r="O55">
        <v>0.42199999999999999</v>
      </c>
      <c r="P55">
        <v>32.050400000000003</v>
      </c>
      <c r="Q55" s="5">
        <v>6.0348649736875188</v>
      </c>
      <c r="R55" s="5">
        <f>N2O!R57</f>
        <v>273.572</v>
      </c>
      <c r="S55">
        <f t="shared" si="2"/>
        <v>1986.65</v>
      </c>
      <c r="T55">
        <f t="shared" si="3"/>
        <v>1.9866500000000003E-6</v>
      </c>
      <c r="U55">
        <f t="shared" si="4"/>
        <v>1</v>
      </c>
      <c r="V55" s="5">
        <f t="shared" si="1"/>
        <v>3.9639467877782404</v>
      </c>
      <c r="W55" s="50">
        <f t="shared" si="5"/>
        <v>152.24384424872696</v>
      </c>
    </row>
    <row r="56" spans="8:23" x14ac:dyDescent="0.25">
      <c r="H56">
        <v>12</v>
      </c>
      <c r="I56" s="44"/>
      <c r="J56" s="44"/>
      <c r="K56"/>
      <c r="L56">
        <v>6.91</v>
      </c>
      <c r="O56">
        <v>2.0727000000000002</v>
      </c>
      <c r="P56">
        <v>27.412400000000002</v>
      </c>
      <c r="Q56" s="5">
        <v>7.2506329218949332</v>
      </c>
      <c r="R56" s="5">
        <f>N2O!R58</f>
        <v>275.22269999999997</v>
      </c>
      <c r="S56">
        <f t="shared" si="2"/>
        <v>1986.65</v>
      </c>
      <c r="T56">
        <f t="shared" si="3"/>
        <v>1.9866500000000003E-6</v>
      </c>
      <c r="U56">
        <f t="shared" si="4"/>
        <v>1</v>
      </c>
      <c r="V56" s="5">
        <f t="shared" si="1"/>
        <v>3.902853283205665</v>
      </c>
      <c r="W56" s="50">
        <f t="shared" si="5"/>
        <v>185.77774760570864</v>
      </c>
    </row>
    <row r="57" spans="8:23" x14ac:dyDescent="0.25">
      <c r="H57">
        <v>12</v>
      </c>
      <c r="I57" s="44"/>
      <c r="J57" s="44"/>
      <c r="K57"/>
      <c r="L57">
        <v>80.06</v>
      </c>
      <c r="O57">
        <v>-2.7300000000000001E-2</v>
      </c>
      <c r="P57">
        <v>32.485100000000003</v>
      </c>
      <c r="Q57" s="5">
        <v>5.8037010437573269</v>
      </c>
      <c r="R57" s="5">
        <f>N2O!R59</f>
        <v>273.12269999999995</v>
      </c>
      <c r="S57">
        <f t="shared" si="2"/>
        <v>1986.65</v>
      </c>
      <c r="T57">
        <f t="shared" si="3"/>
        <v>1.9866500000000003E-6</v>
      </c>
      <c r="U57">
        <f t="shared" si="4"/>
        <v>1</v>
      </c>
      <c r="V57" s="5">
        <f t="shared" si="1"/>
        <v>4.0054166028004747</v>
      </c>
      <c r="W57" s="50">
        <f t="shared" si="5"/>
        <v>144.89631464800797</v>
      </c>
    </row>
    <row r="58" spans="8:23" x14ac:dyDescent="0.25">
      <c r="H58">
        <v>14</v>
      </c>
      <c r="I58" s="44"/>
      <c r="J58" s="44"/>
      <c r="K58"/>
      <c r="L58">
        <v>99.98</v>
      </c>
      <c r="O58">
        <v>0.313</v>
      </c>
      <c r="P58">
        <v>32.951000000000001</v>
      </c>
      <c r="R58" s="5">
        <f>N2O!R60</f>
        <v>273.46299999999997</v>
      </c>
      <c r="S58">
        <f t="shared" si="2"/>
        <v>1986.65</v>
      </c>
      <c r="T58">
        <f t="shared" si="3"/>
        <v>1.9866500000000003E-6</v>
      </c>
      <c r="U58">
        <f t="shared" si="4"/>
        <v>1</v>
      </c>
      <c r="V58" s="5">
        <f t="shared" si="1"/>
        <v>3.9511748796573589</v>
      </c>
      <c r="W58" s="50"/>
    </row>
    <row r="59" spans="8:23" x14ac:dyDescent="0.25">
      <c r="H59">
        <v>14</v>
      </c>
      <c r="K59"/>
      <c r="L59">
        <v>11.9</v>
      </c>
      <c r="O59">
        <v>0.8044</v>
      </c>
      <c r="P59">
        <v>30.056999999999999</v>
      </c>
      <c r="Q59" s="5">
        <v>6.8669209963404443</v>
      </c>
      <c r="R59" s="5">
        <f>N2O!R61</f>
        <v>273.95439999999996</v>
      </c>
      <c r="S59">
        <f t="shared" si="2"/>
        <v>1986.65</v>
      </c>
      <c r="T59">
        <f t="shared" si="3"/>
        <v>1.9866500000000003E-6</v>
      </c>
      <c r="U59">
        <f t="shared" si="4"/>
        <v>1</v>
      </c>
      <c r="V59" s="5">
        <f t="shared" si="1"/>
        <v>3.9755178805355702</v>
      </c>
      <c r="W59" s="50">
        <f t="shared" si="5"/>
        <v>172.73022541192427</v>
      </c>
    </row>
    <row r="60" spans="8:23" x14ac:dyDescent="0.25">
      <c r="H60">
        <v>14</v>
      </c>
      <c r="K60"/>
      <c r="L60">
        <v>19.91</v>
      </c>
      <c r="O60">
        <v>1.3661000000000001</v>
      </c>
      <c r="P60">
        <v>31.127099999999999</v>
      </c>
      <c r="Q60" s="5">
        <v>6.042796904565761</v>
      </c>
      <c r="R60" s="5">
        <f>N2O!R62</f>
        <v>274.51609999999999</v>
      </c>
      <c r="S60">
        <f t="shared" si="2"/>
        <v>1986.65</v>
      </c>
      <c r="T60">
        <f t="shared" si="3"/>
        <v>1.9866500000000003E-6</v>
      </c>
      <c r="U60">
        <f t="shared" si="4"/>
        <v>1</v>
      </c>
      <c r="V60" s="5">
        <f t="shared" si="1"/>
        <v>3.8800451018004218</v>
      </c>
      <c r="W60" s="50">
        <f t="shared" si="5"/>
        <v>155.7403779085397</v>
      </c>
    </row>
    <row r="61" spans="8:23" x14ac:dyDescent="0.25">
      <c r="H61">
        <v>14</v>
      </c>
      <c r="K61"/>
      <c r="L61">
        <v>80.11</v>
      </c>
      <c r="O61">
        <v>5.2900000000000003E-2</v>
      </c>
      <c r="P61">
        <v>32.609200000000001</v>
      </c>
      <c r="Q61" s="5">
        <v>4.8896051153923485</v>
      </c>
      <c r="R61" s="5">
        <f>N2O!R63</f>
        <v>273.2029</v>
      </c>
      <c r="S61">
        <f t="shared" si="2"/>
        <v>1986.65</v>
      </c>
      <c r="T61">
        <f t="shared" si="3"/>
        <v>1.9866500000000003E-6</v>
      </c>
      <c r="U61">
        <f t="shared" si="4"/>
        <v>1</v>
      </c>
      <c r="V61" s="5">
        <f t="shared" si="1"/>
        <v>3.9921160941456275</v>
      </c>
      <c r="W61" s="50">
        <f t="shared" si="5"/>
        <v>122.48153610970567</v>
      </c>
    </row>
    <row r="62" spans="8:23" x14ac:dyDescent="0.25">
      <c r="H62">
        <v>14</v>
      </c>
      <c r="K62"/>
      <c r="L62">
        <v>2.93</v>
      </c>
      <c r="O62">
        <v>2.9022999999999999</v>
      </c>
      <c r="P62">
        <v>27.584099999999999</v>
      </c>
      <c r="Q62" s="5">
        <v>7.2659907661483221</v>
      </c>
      <c r="R62" s="5">
        <f>N2O!R64</f>
        <v>276.0523</v>
      </c>
      <c r="S62">
        <f t="shared" si="2"/>
        <v>1986.65</v>
      </c>
      <c r="T62">
        <f t="shared" si="3"/>
        <v>1.9866500000000003E-6</v>
      </c>
      <c r="U62">
        <f t="shared" si="4"/>
        <v>1</v>
      </c>
      <c r="V62" s="5">
        <f t="shared" si="1"/>
        <v>3.8060567190299444</v>
      </c>
      <c r="W62" s="50">
        <f t="shared" si="5"/>
        <v>190.90600331358743</v>
      </c>
    </row>
    <row r="63" spans="8:23" x14ac:dyDescent="0.25">
      <c r="H63">
        <v>14</v>
      </c>
      <c r="K63"/>
      <c r="L63">
        <v>399.93</v>
      </c>
      <c r="O63">
        <v>4.7111999999999998</v>
      </c>
      <c r="P63">
        <v>34.739899999999999</v>
      </c>
      <c r="Q63" s="5">
        <v>4.946407697412007</v>
      </c>
      <c r="R63" s="5">
        <f>N2O!R65</f>
        <v>277.8612</v>
      </c>
      <c r="S63">
        <f t="shared" si="2"/>
        <v>1986.65</v>
      </c>
      <c r="T63">
        <f t="shared" si="3"/>
        <v>1.9866500000000003E-6</v>
      </c>
      <c r="U63">
        <f t="shared" si="4"/>
        <v>1</v>
      </c>
      <c r="V63" s="5">
        <f t="shared" si="1"/>
        <v>3.4424418304705182</v>
      </c>
      <c r="W63" s="50">
        <f t="shared" si="5"/>
        <v>143.68892608814031</v>
      </c>
    </row>
    <row r="64" spans="8:23" x14ac:dyDescent="0.25">
      <c r="H64">
        <v>14</v>
      </c>
      <c r="K64"/>
      <c r="L64">
        <v>5.94</v>
      </c>
      <c r="O64">
        <v>2.3675000000000002</v>
      </c>
      <c r="P64">
        <v>28.245999999999999</v>
      </c>
      <c r="Q64" s="5">
        <v>7.1722758370185975</v>
      </c>
      <c r="R64" s="5">
        <f>N2O!R66</f>
        <v>275.51749999999998</v>
      </c>
      <c r="S64">
        <f t="shared" si="2"/>
        <v>1986.65</v>
      </c>
      <c r="T64">
        <f t="shared" si="3"/>
        <v>1.9866500000000003E-6</v>
      </c>
      <c r="U64">
        <f t="shared" si="4"/>
        <v>1</v>
      </c>
      <c r="V64" s="5">
        <f t="shared" si="1"/>
        <v>3.8467973292608635</v>
      </c>
      <c r="W64" s="50">
        <f t="shared" si="5"/>
        <v>186.44797797020158</v>
      </c>
    </row>
    <row r="65" spans="8:23" x14ac:dyDescent="0.25">
      <c r="H65">
        <v>14</v>
      </c>
      <c r="I65" s="44"/>
      <c r="J65" s="44"/>
      <c r="K65"/>
      <c r="L65">
        <v>6.06</v>
      </c>
      <c r="O65">
        <v>2.3946999999999998</v>
      </c>
      <c r="P65">
        <v>28.221599999999999</v>
      </c>
      <c r="Q65" s="5">
        <v>5.7182950927761693</v>
      </c>
      <c r="R65" s="5">
        <f>N2O!R67</f>
        <v>275.54469999999998</v>
      </c>
      <c r="S65">
        <f t="shared" si="2"/>
        <v>1986.65</v>
      </c>
      <c r="T65">
        <f t="shared" si="3"/>
        <v>1.9866500000000003E-6</v>
      </c>
      <c r="U65">
        <f t="shared" si="4"/>
        <v>1</v>
      </c>
      <c r="V65" s="5"/>
      <c r="W65" s="50"/>
    </row>
    <row r="66" spans="8:23" x14ac:dyDescent="0.25">
      <c r="H66">
        <v>19</v>
      </c>
      <c r="I66" s="44"/>
      <c r="J66" s="44"/>
      <c r="K66"/>
      <c r="L66">
        <v>100.01</v>
      </c>
      <c r="O66">
        <v>0.38059999999999999</v>
      </c>
      <c r="P66">
        <v>32.930700000000002</v>
      </c>
      <c r="Q66" s="5">
        <v>5.9316340457919354</v>
      </c>
      <c r="R66" s="5">
        <f>N2O!R68</f>
        <v>273.53059999999999</v>
      </c>
      <c r="S66">
        <f t="shared" si="2"/>
        <v>1986.65</v>
      </c>
      <c r="T66">
        <f t="shared" si="3"/>
        <v>1.9866500000000003E-6</v>
      </c>
      <c r="U66">
        <f t="shared" si="4"/>
        <v>1</v>
      </c>
      <c r="V66" s="5">
        <f t="shared" si="1"/>
        <v>3.9437462522283013</v>
      </c>
      <c r="W66" s="50">
        <f t="shared" si="5"/>
        <v>150.40607753200234</v>
      </c>
    </row>
    <row r="67" spans="8:23" x14ac:dyDescent="0.25">
      <c r="H67">
        <v>19</v>
      </c>
      <c r="I67" s="44"/>
      <c r="J67" s="44"/>
      <c r="K67"/>
      <c r="L67">
        <v>19.95</v>
      </c>
      <c r="O67">
        <v>2.6818</v>
      </c>
      <c r="P67">
        <v>31.420400000000001</v>
      </c>
      <c r="Q67" s="5">
        <v>6.218977361540782</v>
      </c>
      <c r="R67" s="5">
        <f>N2O!R69</f>
        <v>275.83179999999999</v>
      </c>
      <c r="S67">
        <f t="shared" si="2"/>
        <v>1986.65</v>
      </c>
      <c r="T67">
        <f t="shared" si="3"/>
        <v>1.9866500000000003E-6</v>
      </c>
      <c r="U67">
        <f t="shared" si="4"/>
        <v>1</v>
      </c>
      <c r="V67" s="5">
        <f t="shared" si="1"/>
        <v>3.7274346044079647</v>
      </c>
      <c r="W67" s="50">
        <f t="shared" si="5"/>
        <v>166.84336605627863</v>
      </c>
    </row>
    <row r="68" spans="8:23" x14ac:dyDescent="0.25">
      <c r="H68">
        <v>19</v>
      </c>
      <c r="I68" s="44"/>
      <c r="J68" s="44"/>
      <c r="K68"/>
      <c r="L68">
        <v>199.88</v>
      </c>
      <c r="O68">
        <v>3.4060999999999999</v>
      </c>
      <c r="P68">
        <v>34.212200000000003</v>
      </c>
      <c r="Q68" s="5">
        <v>4.9241139125764866</v>
      </c>
      <c r="R68" s="5">
        <f>N2O!R70</f>
        <v>276.55609999999996</v>
      </c>
      <c r="S68">
        <f t="shared" si="2"/>
        <v>1986.65</v>
      </c>
      <c r="T68">
        <f t="shared" si="3"/>
        <v>1.9866500000000003E-6</v>
      </c>
      <c r="U68">
        <f t="shared" si="4"/>
        <v>1</v>
      </c>
      <c r="V68" s="5">
        <f t="shared" si="1"/>
        <v>3.5809235542361568</v>
      </c>
      <c r="W68" s="50">
        <f t="shared" si="5"/>
        <v>137.50960717246713</v>
      </c>
    </row>
    <row r="69" spans="8:23" x14ac:dyDescent="0.25">
      <c r="H69">
        <v>19</v>
      </c>
      <c r="I69" s="44"/>
      <c r="J69" s="44"/>
      <c r="K69"/>
      <c r="L69">
        <v>2.95</v>
      </c>
      <c r="O69">
        <v>3.6793</v>
      </c>
      <c r="P69">
        <v>28.968599999999999</v>
      </c>
      <c r="Q69" s="5">
        <v>6.777684981316213</v>
      </c>
      <c r="R69" s="5">
        <f>N2O!R71</f>
        <v>276.82929999999999</v>
      </c>
      <c r="S69">
        <f t="shared" si="2"/>
        <v>1986.65</v>
      </c>
      <c r="T69">
        <f t="shared" si="3"/>
        <v>1.9866500000000003E-6</v>
      </c>
      <c r="U69">
        <f t="shared" si="4"/>
        <v>1</v>
      </c>
      <c r="V69" s="5">
        <f t="shared" ref="V69:V108" si="6">EXP(LN(T69)+$C$13+($C$14*(100/R69))+($C$15*LN(R69/100))+($C$16*(R69/100))+(P69*($C$17+($C$18*(R69/100))+($C$19*(R69/100)^2))))</f>
        <v>3.6873331522705906</v>
      </c>
      <c r="W69" s="50">
        <f t="shared" si="5"/>
        <v>183.80994343141037</v>
      </c>
    </row>
    <row r="70" spans="8:23" x14ac:dyDescent="0.25">
      <c r="H70">
        <v>19</v>
      </c>
      <c r="I70" s="44"/>
      <c r="J70" s="44"/>
      <c r="K70"/>
      <c r="L70">
        <v>3.05</v>
      </c>
      <c r="O70">
        <v>3.5428999999999999</v>
      </c>
      <c r="P70">
        <v>28.9161</v>
      </c>
      <c r="Q70" s="5">
        <v>5.5194593512118857</v>
      </c>
      <c r="R70" s="5">
        <f>N2O!R72</f>
        <v>276.69289999999995</v>
      </c>
      <c r="S70">
        <f t="shared" si="2"/>
        <v>1986.65</v>
      </c>
      <c r="T70">
        <f t="shared" si="3"/>
        <v>1.9866500000000003E-6</v>
      </c>
      <c r="U70">
        <f t="shared" si="4"/>
        <v>1</v>
      </c>
      <c r="V70" s="5">
        <f t="shared" si="6"/>
        <v>3.7027969070333606</v>
      </c>
      <c r="W70" s="50">
        <f t="shared" ref="W70:W108" si="7">(Q70/V70)*100</f>
        <v>149.06189806758846</v>
      </c>
    </row>
    <row r="71" spans="8:23" x14ac:dyDescent="0.25">
      <c r="H71">
        <v>19</v>
      </c>
      <c r="I71" s="44"/>
      <c r="J71" s="44"/>
      <c r="K71"/>
      <c r="L71">
        <v>400.04</v>
      </c>
      <c r="O71">
        <v>3.8092000000000001</v>
      </c>
      <c r="P71">
        <v>34.494700000000002</v>
      </c>
      <c r="Q71" s="5">
        <v>5.9620274467390297</v>
      </c>
      <c r="R71" s="5">
        <f>N2O!R73</f>
        <v>276.95919999999995</v>
      </c>
      <c r="S71">
        <f t="shared" ref="S71:S108" si="8">S70</f>
        <v>1986.65</v>
      </c>
      <c r="T71">
        <f t="shared" ref="T71:T108" si="9">T70</f>
        <v>1.9866500000000003E-6</v>
      </c>
      <c r="U71">
        <f t="shared" ref="U71:U108" si="10">U70</f>
        <v>1</v>
      </c>
      <c r="V71" s="5">
        <f t="shared" si="6"/>
        <v>3.5341618536767228</v>
      </c>
      <c r="W71" s="50">
        <f t="shared" si="7"/>
        <v>168.69706860019741</v>
      </c>
    </row>
    <row r="72" spans="8:23" x14ac:dyDescent="0.25">
      <c r="H72">
        <v>22</v>
      </c>
      <c r="K72"/>
      <c r="L72">
        <v>99.92</v>
      </c>
      <c r="O72">
        <v>0.43090000000000001</v>
      </c>
      <c r="P72">
        <v>32.6691</v>
      </c>
      <c r="Q72" s="5">
        <v>5.6446072169370645</v>
      </c>
      <c r="R72" s="5">
        <f>N2O!R74</f>
        <v>273.58089999999999</v>
      </c>
      <c r="S72">
        <f t="shared" si="8"/>
        <v>1986.65</v>
      </c>
      <c r="T72">
        <f t="shared" si="9"/>
        <v>1.9866500000000003E-6</v>
      </c>
      <c r="U72">
        <f t="shared" si="10"/>
        <v>1</v>
      </c>
      <c r="V72" s="5">
        <f t="shared" si="6"/>
        <v>3.9452438438185777</v>
      </c>
      <c r="W72" s="50">
        <f t="shared" si="7"/>
        <v>143.07372219288942</v>
      </c>
    </row>
    <row r="73" spans="8:23" x14ac:dyDescent="0.25">
      <c r="H73">
        <v>22</v>
      </c>
      <c r="K73"/>
      <c r="L73">
        <v>149.97</v>
      </c>
      <c r="O73">
        <v>1.6833</v>
      </c>
      <c r="P73">
        <v>33.654600000000002</v>
      </c>
      <c r="Q73" s="5">
        <v>5.1762399338484499</v>
      </c>
      <c r="R73" s="5">
        <f>N2O!R75</f>
        <v>274.83329999999995</v>
      </c>
      <c r="S73">
        <f t="shared" si="8"/>
        <v>1986.65</v>
      </c>
      <c r="T73">
        <f t="shared" si="9"/>
        <v>1.9866500000000003E-6</v>
      </c>
      <c r="U73">
        <f t="shared" si="10"/>
        <v>1</v>
      </c>
      <c r="V73" s="5">
        <f t="shared" si="6"/>
        <v>3.7754359286536836</v>
      </c>
      <c r="W73" s="50">
        <f t="shared" si="7"/>
        <v>137.10310628140607</v>
      </c>
    </row>
    <row r="74" spans="8:23" x14ac:dyDescent="0.25">
      <c r="H74">
        <v>22</v>
      </c>
      <c r="K74"/>
      <c r="L74">
        <v>219.95</v>
      </c>
      <c r="O74">
        <v>2.9493</v>
      </c>
      <c r="P74">
        <v>34.174999999999997</v>
      </c>
      <c r="Q74" s="5">
        <v>4.977614315562823</v>
      </c>
      <c r="R74" s="5">
        <f>N2O!R76</f>
        <v>276.09929999999997</v>
      </c>
      <c r="S74">
        <f t="shared" si="8"/>
        <v>1986.65</v>
      </c>
      <c r="T74">
        <f t="shared" si="9"/>
        <v>1.9866500000000003E-6</v>
      </c>
      <c r="U74">
        <f t="shared" si="10"/>
        <v>1</v>
      </c>
      <c r="V74" s="5">
        <f t="shared" si="6"/>
        <v>3.6279197029624162</v>
      </c>
      <c r="W74" s="50">
        <f t="shared" si="7"/>
        <v>137.20299022876111</v>
      </c>
    </row>
    <row r="75" spans="8:23" x14ac:dyDescent="0.25">
      <c r="H75">
        <v>22</v>
      </c>
      <c r="K75"/>
      <c r="L75">
        <v>220.05</v>
      </c>
      <c r="O75">
        <v>2.9508000000000001</v>
      </c>
      <c r="P75">
        <v>34.174500000000002</v>
      </c>
      <c r="Q75" s="5">
        <v>6.3321648178801073</v>
      </c>
      <c r="R75" s="5">
        <f>N2O!R77</f>
        <v>276.10079999999999</v>
      </c>
      <c r="S75">
        <f t="shared" si="8"/>
        <v>1986.65</v>
      </c>
      <c r="T75">
        <f t="shared" si="9"/>
        <v>1.9866500000000003E-6</v>
      </c>
      <c r="U75">
        <f t="shared" si="10"/>
        <v>1</v>
      </c>
      <c r="V75" s="5">
        <f t="shared" si="6"/>
        <v>3.6277795044596886</v>
      </c>
      <c r="W75" s="50">
        <f t="shared" si="7"/>
        <v>174.54657346445322</v>
      </c>
    </row>
    <row r="76" spans="8:23" x14ac:dyDescent="0.25">
      <c r="H76">
        <v>22</v>
      </c>
      <c r="K76"/>
      <c r="L76">
        <v>3</v>
      </c>
      <c r="O76">
        <v>6.9789000000000003</v>
      </c>
      <c r="P76">
        <v>28.6554</v>
      </c>
      <c r="Q76" s="5">
        <v>7.4198202090020366</v>
      </c>
      <c r="R76" s="5">
        <f>N2O!R78</f>
        <v>280.12889999999999</v>
      </c>
      <c r="S76">
        <f t="shared" si="8"/>
        <v>1986.65</v>
      </c>
      <c r="T76">
        <f t="shared" si="9"/>
        <v>1.9866500000000003E-6</v>
      </c>
      <c r="U76">
        <f t="shared" si="10"/>
        <v>1</v>
      </c>
      <c r="V76" s="5">
        <f t="shared" si="6"/>
        <v>3.3813768708854042</v>
      </c>
      <c r="W76" s="50">
        <f t="shared" si="7"/>
        <v>219.43192055546228</v>
      </c>
    </row>
    <row r="77" spans="8:23" x14ac:dyDescent="0.25">
      <c r="H77">
        <v>22</v>
      </c>
      <c r="K77"/>
      <c r="L77">
        <v>29.94</v>
      </c>
      <c r="O77">
        <v>2.3069999999999999</v>
      </c>
      <c r="P77">
        <v>31.3552</v>
      </c>
      <c r="Q77" s="5">
        <v>5.8744062982891245</v>
      </c>
      <c r="R77" s="5">
        <f>N2O!R79</f>
        <v>275.45699999999999</v>
      </c>
      <c r="S77">
        <f t="shared" si="8"/>
        <v>1986.65</v>
      </c>
      <c r="T77">
        <f t="shared" si="9"/>
        <v>1.9866500000000003E-6</v>
      </c>
      <c r="U77">
        <f t="shared" si="10"/>
        <v>1</v>
      </c>
      <c r="V77" s="5">
        <f t="shared" si="6"/>
        <v>3.7693212911924401</v>
      </c>
      <c r="W77" s="50">
        <f t="shared" si="7"/>
        <v>155.84785282208543</v>
      </c>
    </row>
    <row r="78" spans="8:23" x14ac:dyDescent="0.25">
      <c r="H78">
        <v>23</v>
      </c>
      <c r="K78"/>
      <c r="L78">
        <v>150.03</v>
      </c>
      <c r="O78">
        <v>6.5000000000000002E-2</v>
      </c>
      <c r="P78">
        <v>33.055500000000002</v>
      </c>
      <c r="R78" s="5">
        <f>N2O!R80</f>
        <v>273.21499999999997</v>
      </c>
      <c r="S78">
        <f t="shared" si="8"/>
        <v>1986.65</v>
      </c>
      <c r="T78">
        <f t="shared" si="9"/>
        <v>1.9866500000000003E-6</v>
      </c>
      <c r="U78">
        <f t="shared" si="10"/>
        <v>1</v>
      </c>
      <c r="V78" s="5">
        <f t="shared" si="6"/>
        <v>3.9777927627129728</v>
      </c>
      <c r="W78" s="50"/>
    </row>
    <row r="79" spans="8:23" x14ac:dyDescent="0.25">
      <c r="H79">
        <v>23</v>
      </c>
      <c r="I79" s="44"/>
      <c r="J79" s="44"/>
      <c r="K79"/>
      <c r="L79">
        <v>249.97</v>
      </c>
      <c r="O79">
        <v>0.1057</v>
      </c>
      <c r="P79">
        <v>33.162399999999998</v>
      </c>
      <c r="Q79" s="5">
        <v>4.833003916964655</v>
      </c>
      <c r="R79" s="5">
        <f>N2O!R81</f>
        <v>273.25569999999999</v>
      </c>
      <c r="S79">
        <f t="shared" si="8"/>
        <v>1986.65</v>
      </c>
      <c r="T79">
        <f t="shared" si="9"/>
        <v>1.9866500000000003E-6</v>
      </c>
      <c r="U79">
        <f t="shared" si="10"/>
        <v>1</v>
      </c>
      <c r="V79" s="5">
        <f t="shared" si="6"/>
        <v>3.9698378042361311</v>
      </c>
      <c r="W79" s="50">
        <f t="shared" si="7"/>
        <v>121.74310778660673</v>
      </c>
    </row>
    <row r="80" spans="8:23" x14ac:dyDescent="0.25">
      <c r="H80">
        <v>23</v>
      </c>
      <c r="I80" s="44"/>
      <c r="J80" s="44"/>
      <c r="K80"/>
      <c r="L80">
        <v>2.99</v>
      </c>
      <c r="O80">
        <v>9.0694999999999997</v>
      </c>
      <c r="P80">
        <v>23.412600000000001</v>
      </c>
      <c r="Q80" s="5">
        <v>5.499124798082665</v>
      </c>
      <c r="R80" s="5">
        <f>N2O!R82</f>
        <v>282.21949999999998</v>
      </c>
      <c r="S80">
        <f t="shared" si="8"/>
        <v>1986.65</v>
      </c>
      <c r="T80">
        <f t="shared" si="9"/>
        <v>1.9866500000000003E-6</v>
      </c>
      <c r="U80">
        <f t="shared" si="10"/>
        <v>1</v>
      </c>
      <c r="V80" s="5">
        <f t="shared" si="6"/>
        <v>3.322255683624209</v>
      </c>
      <c r="W80" s="50">
        <f t="shared" si="7"/>
        <v>165.52382843946964</v>
      </c>
    </row>
    <row r="81" spans="8:23" x14ac:dyDescent="0.25">
      <c r="H81">
        <v>23</v>
      </c>
      <c r="I81" s="44"/>
      <c r="J81" s="44"/>
      <c r="K81"/>
      <c r="L81">
        <v>349.98</v>
      </c>
      <c r="O81">
        <v>0.1305</v>
      </c>
      <c r="P81">
        <v>33.183</v>
      </c>
      <c r="Q81" s="5">
        <v>5.9374048474596419</v>
      </c>
      <c r="R81" s="5">
        <f>N2O!R83</f>
        <v>273.28049999999996</v>
      </c>
      <c r="S81">
        <f t="shared" si="8"/>
        <v>1986.65</v>
      </c>
      <c r="T81">
        <f t="shared" si="9"/>
        <v>1.9866500000000003E-6</v>
      </c>
      <c r="U81">
        <f t="shared" si="10"/>
        <v>1</v>
      </c>
      <c r="V81" s="5">
        <f t="shared" si="6"/>
        <v>3.9662787160168724</v>
      </c>
      <c r="W81" s="50">
        <f t="shared" si="7"/>
        <v>149.69711592588905</v>
      </c>
    </row>
    <row r="82" spans="8:23" x14ac:dyDescent="0.25">
      <c r="H82">
        <v>23</v>
      </c>
      <c r="I82" s="44"/>
      <c r="J82" s="44"/>
      <c r="K82"/>
      <c r="L82">
        <v>39.99</v>
      </c>
      <c r="O82">
        <v>1.7413000000000001</v>
      </c>
      <c r="P82">
        <v>32.106699999999996</v>
      </c>
      <c r="Q82" s="5">
        <v>5.9829851272502967</v>
      </c>
      <c r="R82" s="5">
        <f>N2O!R84</f>
        <v>274.8913</v>
      </c>
      <c r="S82">
        <f t="shared" si="8"/>
        <v>1986.65</v>
      </c>
      <c r="T82">
        <f t="shared" si="9"/>
        <v>1.9866500000000003E-6</v>
      </c>
      <c r="U82">
        <f t="shared" si="10"/>
        <v>1</v>
      </c>
      <c r="V82" s="5">
        <f t="shared" si="6"/>
        <v>3.8109649564795305</v>
      </c>
      <c r="W82" s="50">
        <f t="shared" si="7"/>
        <v>156.99396860309159</v>
      </c>
    </row>
    <row r="83" spans="8:23" x14ac:dyDescent="0.25">
      <c r="H83">
        <v>23</v>
      </c>
      <c r="I83" s="44"/>
      <c r="J83" s="44"/>
      <c r="K83"/>
      <c r="L83">
        <v>6.06</v>
      </c>
      <c r="O83">
        <v>6.1154000000000002</v>
      </c>
      <c r="P83">
        <v>29.5168</v>
      </c>
      <c r="Q83" s="5">
        <v>6.6739302946851486</v>
      </c>
      <c r="R83" s="5">
        <f>N2O!R85</f>
        <v>279.2654</v>
      </c>
      <c r="S83">
        <f t="shared" si="8"/>
        <v>1986.65</v>
      </c>
      <c r="T83">
        <f t="shared" si="9"/>
        <v>1.9866500000000003E-6</v>
      </c>
      <c r="U83">
        <f t="shared" si="10"/>
        <v>1</v>
      </c>
      <c r="V83" s="5">
        <f t="shared" si="6"/>
        <v>3.4382117402786028</v>
      </c>
      <c r="W83" s="50">
        <f t="shared" si="7"/>
        <v>194.1105085675832</v>
      </c>
    </row>
    <row r="84" spans="8:23" x14ac:dyDescent="0.25">
      <c r="H84">
        <v>23</v>
      </c>
      <c r="I84" s="44"/>
      <c r="J84" s="44"/>
      <c r="K84"/>
      <c r="L84">
        <v>80.02</v>
      </c>
      <c r="O84">
        <v>0.78069999999999995</v>
      </c>
      <c r="P84">
        <v>32.6477</v>
      </c>
      <c r="Q84" s="5">
        <v>5.7327976531905822</v>
      </c>
      <c r="R84" s="5">
        <f>N2O!R86</f>
        <v>273.9307</v>
      </c>
      <c r="S84">
        <f t="shared" si="8"/>
        <v>1986.65</v>
      </c>
      <c r="T84">
        <f t="shared" si="9"/>
        <v>1.9866500000000003E-6</v>
      </c>
      <c r="U84">
        <f t="shared" si="10"/>
        <v>1</v>
      </c>
      <c r="V84" s="5">
        <f t="shared" si="6"/>
        <v>3.9048882493345003</v>
      </c>
      <c r="W84" s="50">
        <f t="shared" si="7"/>
        <v>146.81079936583609</v>
      </c>
    </row>
    <row r="85" spans="8:23" x14ac:dyDescent="0.25">
      <c r="H85">
        <v>26</v>
      </c>
      <c r="I85" s="44"/>
      <c r="J85" s="44"/>
      <c r="K85"/>
      <c r="L85">
        <v>0.98</v>
      </c>
      <c r="O85">
        <v>8.5424000000000007</v>
      </c>
      <c r="P85">
        <v>16.535</v>
      </c>
      <c r="Q85" s="5">
        <v>5.9189518299267352</v>
      </c>
      <c r="R85" s="5">
        <f>N2O!R87</f>
        <v>281.69239999999996</v>
      </c>
      <c r="S85">
        <f t="shared" si="8"/>
        <v>1986.65</v>
      </c>
      <c r="T85">
        <f t="shared" si="9"/>
        <v>1.9866500000000003E-6</v>
      </c>
      <c r="U85">
        <f t="shared" si="10"/>
        <v>1</v>
      </c>
      <c r="V85" s="5">
        <f t="shared" si="6"/>
        <v>3.5272279245148108</v>
      </c>
      <c r="W85" s="50">
        <f t="shared" si="7"/>
        <v>167.80746684355304</v>
      </c>
    </row>
    <row r="86" spans="8:23" x14ac:dyDescent="0.25">
      <c r="H86">
        <v>26</v>
      </c>
      <c r="I86" s="44"/>
      <c r="J86" s="44"/>
      <c r="K86"/>
      <c r="L86">
        <v>9.94</v>
      </c>
      <c r="O86">
        <v>4.8295000000000003</v>
      </c>
      <c r="P86">
        <v>30.446300000000001</v>
      </c>
      <c r="Q86" s="5">
        <v>6.4827178761362472</v>
      </c>
      <c r="R86" s="5">
        <f>N2O!R88</f>
        <v>277.97949999999997</v>
      </c>
      <c r="S86">
        <f t="shared" si="8"/>
        <v>1986.65</v>
      </c>
      <c r="T86">
        <f t="shared" si="9"/>
        <v>1.9866500000000003E-6</v>
      </c>
      <c r="U86">
        <f t="shared" si="10"/>
        <v>1</v>
      </c>
      <c r="V86" s="5">
        <f t="shared" si="6"/>
        <v>3.5356891150781729</v>
      </c>
      <c r="W86" s="50">
        <f t="shared" si="7"/>
        <v>183.35090176594659</v>
      </c>
    </row>
    <row r="87" spans="8:23" x14ac:dyDescent="0.25">
      <c r="H87">
        <v>26</v>
      </c>
      <c r="I87" s="44"/>
      <c r="J87" s="44"/>
      <c r="K87"/>
      <c r="L87">
        <v>100.03</v>
      </c>
      <c r="O87">
        <v>0.37859999999999999</v>
      </c>
      <c r="P87">
        <v>32.808199999999999</v>
      </c>
      <c r="Q87" s="5">
        <v>5.1007100849432261</v>
      </c>
      <c r="R87" s="5">
        <f>N2O!R89</f>
        <v>273.52859999999998</v>
      </c>
      <c r="S87">
        <f t="shared" si="8"/>
        <v>1986.65</v>
      </c>
      <c r="T87">
        <f t="shared" si="9"/>
        <v>1.9866500000000003E-6</v>
      </c>
      <c r="U87">
        <f t="shared" si="10"/>
        <v>1</v>
      </c>
      <c r="V87" s="5">
        <f t="shared" si="6"/>
        <v>3.9474704337927538</v>
      </c>
      <c r="W87" s="50">
        <f t="shared" si="7"/>
        <v>129.2146494949788</v>
      </c>
    </row>
    <row r="88" spans="8:23" x14ac:dyDescent="0.25">
      <c r="H88">
        <v>26</v>
      </c>
      <c r="I88" s="44"/>
      <c r="J88" s="44"/>
      <c r="K88"/>
      <c r="L88">
        <v>20.05</v>
      </c>
      <c r="O88">
        <v>3.2538999999999998</v>
      </c>
      <c r="P88">
        <v>31.492599999999999</v>
      </c>
      <c r="Q88" s="5">
        <v>6.8041534550473939</v>
      </c>
      <c r="R88" s="5">
        <f>N2O!R90</f>
        <v>276.40389999999996</v>
      </c>
      <c r="S88">
        <f t="shared" si="8"/>
        <v>1986.65</v>
      </c>
      <c r="T88">
        <f t="shared" si="9"/>
        <v>1.9866500000000003E-6</v>
      </c>
      <c r="U88">
        <f t="shared" si="10"/>
        <v>1</v>
      </c>
      <c r="V88" s="5">
        <f t="shared" si="6"/>
        <v>3.6657854277930459</v>
      </c>
      <c r="W88" s="50">
        <f t="shared" si="7"/>
        <v>185.61243119851056</v>
      </c>
    </row>
    <row r="89" spans="8:23" x14ac:dyDescent="0.25">
      <c r="H89">
        <v>26</v>
      </c>
      <c r="I89" s="44"/>
      <c r="J89" s="44"/>
      <c r="K89"/>
      <c r="L89">
        <v>219.96</v>
      </c>
      <c r="O89">
        <v>9.1700000000000004E-2</v>
      </c>
      <c r="P89">
        <v>33.131999999999998</v>
      </c>
      <c r="Q89" s="5">
        <v>5.1914418637251094</v>
      </c>
      <c r="R89" s="5">
        <f>N2O!R91</f>
        <v>273.24169999999998</v>
      </c>
      <c r="S89">
        <f t="shared" si="8"/>
        <v>1986.65</v>
      </c>
      <c r="T89">
        <f t="shared" si="9"/>
        <v>1.9866500000000003E-6</v>
      </c>
      <c r="U89">
        <f t="shared" si="10"/>
        <v>1</v>
      </c>
      <c r="V89" s="5">
        <f t="shared" si="6"/>
        <v>3.9723885253113869</v>
      </c>
      <c r="W89" s="50">
        <f t="shared" si="7"/>
        <v>130.68816986672178</v>
      </c>
    </row>
    <row r="90" spans="8:23" x14ac:dyDescent="0.25">
      <c r="H90">
        <v>26</v>
      </c>
      <c r="K90"/>
      <c r="L90">
        <v>40.07</v>
      </c>
      <c r="O90">
        <v>1.9076</v>
      </c>
      <c r="P90">
        <v>32.168500000000002</v>
      </c>
      <c r="Q90" s="5">
        <v>6.4884022445068643</v>
      </c>
      <c r="R90" s="5">
        <f>N2O!R92</f>
        <v>275.05759999999998</v>
      </c>
      <c r="S90">
        <f t="shared" si="8"/>
        <v>1986.65</v>
      </c>
      <c r="T90">
        <f t="shared" si="9"/>
        <v>1.9866500000000003E-6</v>
      </c>
      <c r="U90">
        <f t="shared" si="10"/>
        <v>1</v>
      </c>
      <c r="V90" s="5">
        <f t="shared" si="6"/>
        <v>3.7909599026811729</v>
      </c>
      <c r="W90" s="50">
        <f t="shared" si="7"/>
        <v>171.15459965477118</v>
      </c>
    </row>
    <row r="91" spans="8:23" x14ac:dyDescent="0.25">
      <c r="H91">
        <v>26</v>
      </c>
      <c r="K91"/>
      <c r="L91">
        <v>5.95</v>
      </c>
      <c r="O91">
        <v>5.1921999999999997</v>
      </c>
      <c r="P91">
        <v>29.606300000000001</v>
      </c>
      <c r="Q91" s="5">
        <v>6.884078896092829</v>
      </c>
      <c r="R91" s="5">
        <f>N2O!R93</f>
        <v>278.34219999999999</v>
      </c>
      <c r="S91">
        <f t="shared" si="8"/>
        <v>1986.65</v>
      </c>
      <c r="T91">
        <f t="shared" si="9"/>
        <v>1.9866500000000003E-6</v>
      </c>
      <c r="U91">
        <f t="shared" si="10"/>
        <v>1</v>
      </c>
      <c r="V91" s="5">
        <f t="shared" si="6"/>
        <v>3.521716316531009</v>
      </c>
      <c r="W91" s="50">
        <f t="shared" si="7"/>
        <v>195.47511148978188</v>
      </c>
    </row>
    <row r="92" spans="8:23" x14ac:dyDescent="0.25">
      <c r="H92">
        <v>29</v>
      </c>
      <c r="K92"/>
      <c r="L92">
        <v>0.95</v>
      </c>
      <c r="O92">
        <v>5.4131999999999998</v>
      </c>
      <c r="P92">
        <v>19.916399999999999</v>
      </c>
      <c r="Q92" s="5">
        <v>5.8504782436977578</v>
      </c>
      <c r="R92" s="5">
        <f>N2O!R94</f>
        <v>278.56319999999999</v>
      </c>
      <c r="S92">
        <f t="shared" si="8"/>
        <v>1986.65</v>
      </c>
      <c r="T92">
        <f t="shared" si="9"/>
        <v>1.9866500000000003E-6</v>
      </c>
      <c r="U92">
        <f t="shared" si="10"/>
        <v>1</v>
      </c>
      <c r="V92" s="5">
        <f t="shared" si="6"/>
        <v>3.7442215282422233</v>
      </c>
      <c r="W92" s="50">
        <f t="shared" si="7"/>
        <v>156.25352825863231</v>
      </c>
    </row>
    <row r="93" spans="8:23" x14ac:dyDescent="0.25">
      <c r="H93">
        <v>29</v>
      </c>
      <c r="K93"/>
      <c r="L93">
        <v>100.04</v>
      </c>
      <c r="O93">
        <v>0.315</v>
      </c>
      <c r="P93">
        <v>32.8767</v>
      </c>
      <c r="Q93" s="5">
        <v>5.6664570458005974</v>
      </c>
      <c r="R93" s="5">
        <f>N2O!R95</f>
        <v>273.46499999999997</v>
      </c>
      <c r="S93">
        <f t="shared" si="8"/>
        <v>1986.65</v>
      </c>
      <c r="T93">
        <f t="shared" si="9"/>
        <v>1.9866500000000003E-6</v>
      </c>
      <c r="U93">
        <f t="shared" si="10"/>
        <v>1</v>
      </c>
      <c r="V93" s="5">
        <f t="shared" si="6"/>
        <v>3.9530574225390733</v>
      </c>
      <c r="W93" s="50">
        <f t="shared" si="7"/>
        <v>143.34365631756992</v>
      </c>
    </row>
    <row r="94" spans="8:23" x14ac:dyDescent="0.25">
      <c r="H94">
        <v>29</v>
      </c>
      <c r="K94"/>
      <c r="L94">
        <v>19.97</v>
      </c>
      <c r="O94">
        <v>3.258</v>
      </c>
      <c r="P94">
        <v>31.392299999999999</v>
      </c>
      <c r="R94" s="5">
        <f>N2O!R96</f>
        <v>276.40799999999996</v>
      </c>
      <c r="S94">
        <f t="shared" si="8"/>
        <v>1986.65</v>
      </c>
      <c r="T94">
        <f t="shared" si="9"/>
        <v>1.9866500000000003E-6</v>
      </c>
      <c r="U94">
        <f t="shared" si="10"/>
        <v>1</v>
      </c>
      <c r="V94" s="5">
        <f t="shared" si="6"/>
        <v>3.667957262991326</v>
      </c>
      <c r="W94" s="50"/>
    </row>
    <row r="95" spans="8:23" x14ac:dyDescent="0.25">
      <c r="H95">
        <v>29</v>
      </c>
      <c r="K95"/>
      <c r="L95">
        <v>3.01</v>
      </c>
      <c r="O95">
        <v>5.359</v>
      </c>
      <c r="P95">
        <v>27.612200000000001</v>
      </c>
      <c r="Q95" s="5">
        <v>6.194819863466722</v>
      </c>
      <c r="R95" s="5">
        <f>N2O!R97</f>
        <v>278.50899999999996</v>
      </c>
      <c r="S95">
        <f t="shared" si="8"/>
        <v>1986.65</v>
      </c>
      <c r="T95">
        <f t="shared" si="9"/>
        <v>1.9866500000000003E-6</v>
      </c>
      <c r="U95">
        <f t="shared" si="10"/>
        <v>1</v>
      </c>
      <c r="V95" s="5">
        <f t="shared" si="6"/>
        <v>3.5548009229214617</v>
      </c>
      <c r="W95" s="50">
        <f t="shared" si="7"/>
        <v>174.26629501310018</v>
      </c>
    </row>
    <row r="96" spans="8:23" x14ac:dyDescent="0.25">
      <c r="H96">
        <v>29</v>
      </c>
      <c r="K96"/>
      <c r="L96">
        <v>40.03</v>
      </c>
      <c r="O96">
        <v>2.1972</v>
      </c>
      <c r="P96">
        <v>32.037100000000002</v>
      </c>
      <c r="Q96" s="5">
        <v>6.036121576976119</v>
      </c>
      <c r="R96" s="5">
        <f>N2O!R98</f>
        <v>275.34719999999999</v>
      </c>
      <c r="S96">
        <f t="shared" si="8"/>
        <v>1986.65</v>
      </c>
      <c r="T96">
        <f t="shared" si="9"/>
        <v>1.9866500000000003E-6</v>
      </c>
      <c r="U96">
        <f t="shared" si="10"/>
        <v>1</v>
      </c>
      <c r="V96" s="5">
        <f t="shared" si="6"/>
        <v>3.7629454662329618</v>
      </c>
      <c r="W96" s="50">
        <f t="shared" si="7"/>
        <v>160.40948855468812</v>
      </c>
    </row>
    <row r="97" spans="8:23" x14ac:dyDescent="0.25">
      <c r="H97">
        <v>29</v>
      </c>
      <c r="I97" s="44"/>
      <c r="J97" s="44"/>
      <c r="K97"/>
      <c r="L97">
        <v>69.97</v>
      </c>
      <c r="O97">
        <v>1.0638000000000001</v>
      </c>
      <c r="P97">
        <v>32.628700000000002</v>
      </c>
      <c r="Q97" s="5">
        <v>5.3608342840828342</v>
      </c>
      <c r="R97" s="5">
        <f>N2O!R99</f>
        <v>274.21379999999999</v>
      </c>
      <c r="S97">
        <f t="shared" si="8"/>
        <v>1986.65</v>
      </c>
      <c r="T97">
        <f t="shared" si="9"/>
        <v>1.9866500000000003E-6</v>
      </c>
      <c r="U97">
        <f t="shared" si="10"/>
        <v>1</v>
      </c>
      <c r="V97" s="5">
        <f t="shared" si="6"/>
        <v>3.8728247760936738</v>
      </c>
      <c r="W97" s="50">
        <f t="shared" si="7"/>
        <v>138.42181337958806</v>
      </c>
    </row>
    <row r="98" spans="8:23" x14ac:dyDescent="0.25">
      <c r="H98">
        <v>31</v>
      </c>
      <c r="I98" s="44"/>
      <c r="J98" s="44"/>
      <c r="K98"/>
      <c r="L98">
        <v>150.05000000000001</v>
      </c>
      <c r="O98">
        <v>1.8757999999999999</v>
      </c>
      <c r="P98">
        <v>33.728499999999997</v>
      </c>
      <c r="R98" s="5">
        <f>N2O!R100</f>
        <v>275.0258</v>
      </c>
      <c r="S98">
        <f t="shared" si="8"/>
        <v>1986.65</v>
      </c>
      <c r="T98">
        <f t="shared" si="9"/>
        <v>1.9866500000000003E-6</v>
      </c>
      <c r="U98">
        <f t="shared" si="10"/>
        <v>1</v>
      </c>
      <c r="V98" s="5">
        <f t="shared" si="6"/>
        <v>3.7524816927478097</v>
      </c>
      <c r="W98" s="50"/>
    </row>
    <row r="99" spans="8:23" x14ac:dyDescent="0.25">
      <c r="H99">
        <v>31</v>
      </c>
      <c r="I99" s="44"/>
      <c r="J99" s="44"/>
      <c r="K99"/>
      <c r="L99">
        <v>2.99</v>
      </c>
      <c r="O99">
        <v>0.42930000000000001</v>
      </c>
      <c r="P99">
        <v>23.710100000000001</v>
      </c>
      <c r="Q99" s="5">
        <v>7.0362070648876491</v>
      </c>
      <c r="R99" s="5">
        <f>N2O!R101</f>
        <v>273.57929999999999</v>
      </c>
      <c r="S99">
        <f t="shared" si="8"/>
        <v>1986.65</v>
      </c>
      <c r="T99">
        <f t="shared" si="9"/>
        <v>1.9866500000000003E-6</v>
      </c>
      <c r="U99">
        <f t="shared" si="10"/>
        <v>1</v>
      </c>
      <c r="V99" s="5">
        <f t="shared" si="6"/>
        <v>4.2087985601785585</v>
      </c>
      <c r="W99" s="50">
        <f t="shared" si="7"/>
        <v>167.17851815148734</v>
      </c>
    </row>
    <row r="100" spans="8:23" x14ac:dyDescent="0.25">
      <c r="H100">
        <v>31</v>
      </c>
      <c r="I100" s="44"/>
      <c r="J100" s="44"/>
      <c r="K100"/>
      <c r="L100">
        <v>299.95999999999998</v>
      </c>
      <c r="O100">
        <v>3.7538999999999998</v>
      </c>
      <c r="P100">
        <v>34.448500000000003</v>
      </c>
      <c r="Q100" s="5">
        <v>5.0595003445902291</v>
      </c>
      <c r="R100" s="5">
        <f>N2O!R102</f>
        <v>276.90389999999996</v>
      </c>
      <c r="S100">
        <f t="shared" si="8"/>
        <v>1986.65</v>
      </c>
      <c r="T100">
        <f t="shared" si="9"/>
        <v>1.9866500000000003E-6</v>
      </c>
      <c r="U100">
        <f t="shared" si="10"/>
        <v>1</v>
      </c>
      <c r="V100" s="5">
        <f t="shared" si="6"/>
        <v>3.5407012190214626</v>
      </c>
      <c r="W100" s="50">
        <f t="shared" si="7"/>
        <v>142.8954331816937</v>
      </c>
    </row>
    <row r="101" spans="8:23" x14ac:dyDescent="0.25">
      <c r="H101">
        <v>31</v>
      </c>
      <c r="I101" s="44"/>
      <c r="J101" s="44"/>
      <c r="K101"/>
      <c r="L101">
        <v>49.99</v>
      </c>
      <c r="O101">
        <v>1.0895999999999999</v>
      </c>
      <c r="P101">
        <v>32.0655</v>
      </c>
      <c r="Q101" s="5">
        <v>5.4979328057576495</v>
      </c>
      <c r="R101" s="5">
        <f>N2O!R103</f>
        <v>274.2396</v>
      </c>
      <c r="S101">
        <f t="shared" si="8"/>
        <v>1986.65</v>
      </c>
      <c r="T101">
        <f t="shared" si="9"/>
        <v>1.9866500000000003E-6</v>
      </c>
      <c r="U101">
        <f t="shared" si="10"/>
        <v>1</v>
      </c>
      <c r="V101" s="5">
        <f t="shared" si="6"/>
        <v>3.8855474500630711</v>
      </c>
      <c r="W101" s="50">
        <f t="shared" si="7"/>
        <v>141.49699305997166</v>
      </c>
    </row>
    <row r="102" spans="8:23" x14ac:dyDescent="0.25">
      <c r="H102">
        <v>31</v>
      </c>
      <c r="I102" s="44"/>
      <c r="J102" s="44"/>
      <c r="K102"/>
      <c r="L102">
        <v>5.94</v>
      </c>
      <c r="O102">
        <v>0.39660000000000001</v>
      </c>
      <c r="P102">
        <v>27.001999999999999</v>
      </c>
      <c r="Q102" s="5">
        <v>6.7618728002786881</v>
      </c>
      <c r="R102" s="5">
        <f>N2O!R104</f>
        <v>273.54659999999996</v>
      </c>
      <c r="S102">
        <f t="shared" si="8"/>
        <v>1986.65</v>
      </c>
      <c r="T102">
        <f t="shared" si="9"/>
        <v>1.9866500000000003E-6</v>
      </c>
      <c r="U102">
        <f t="shared" si="10"/>
        <v>1</v>
      </c>
      <c r="V102" s="5">
        <f t="shared" si="6"/>
        <v>4.1141186750511487</v>
      </c>
      <c r="W102" s="50">
        <f t="shared" si="7"/>
        <v>164.35774790076081</v>
      </c>
    </row>
    <row r="103" spans="8:23" x14ac:dyDescent="0.25">
      <c r="H103">
        <v>31</v>
      </c>
      <c r="I103" s="44"/>
      <c r="J103" s="44"/>
      <c r="K103"/>
      <c r="L103">
        <v>79.95</v>
      </c>
      <c r="O103">
        <v>0.10879999999999999</v>
      </c>
      <c r="P103">
        <v>32.504399999999997</v>
      </c>
      <c r="Q103" s="5">
        <v>5.5813246266491472</v>
      </c>
      <c r="R103" s="5">
        <f>N2O!R105</f>
        <v>273.25879999999995</v>
      </c>
      <c r="S103">
        <f t="shared" si="8"/>
        <v>1986.65</v>
      </c>
      <c r="T103">
        <f t="shared" si="9"/>
        <v>1.9866500000000003E-6</v>
      </c>
      <c r="U103">
        <f t="shared" si="10"/>
        <v>1</v>
      </c>
      <c r="V103" s="5">
        <f t="shared" si="6"/>
        <v>3.9883991532398397</v>
      </c>
      <c r="W103" s="50">
        <f t="shared" si="7"/>
        <v>139.93896829797862</v>
      </c>
    </row>
    <row r="104" spans="8:23" x14ac:dyDescent="0.25">
      <c r="H104">
        <v>33</v>
      </c>
      <c r="I104" s="44"/>
      <c r="J104" s="44"/>
      <c r="K104"/>
      <c r="L104">
        <v>10</v>
      </c>
      <c r="O104">
        <v>0.42080000000000001</v>
      </c>
      <c r="P104">
        <v>28.584099999999999</v>
      </c>
      <c r="Q104" s="5">
        <v>6.7287780010680747</v>
      </c>
      <c r="R104" s="5">
        <f>N2O!R106</f>
        <v>273.57079999999996</v>
      </c>
      <c r="S104">
        <f t="shared" si="8"/>
        <v>1986.65</v>
      </c>
      <c r="T104">
        <f t="shared" si="9"/>
        <v>1.9866500000000003E-6</v>
      </c>
      <c r="U104">
        <f t="shared" si="10"/>
        <v>1</v>
      </c>
      <c r="V104" s="5">
        <f t="shared" si="6"/>
        <v>4.0644533965130503</v>
      </c>
      <c r="W104" s="50">
        <f t="shared" si="7"/>
        <v>165.55185518527006</v>
      </c>
    </row>
    <row r="105" spans="8:23" x14ac:dyDescent="0.25">
      <c r="H105">
        <v>33</v>
      </c>
      <c r="I105" s="44"/>
      <c r="J105" s="44"/>
      <c r="K105"/>
      <c r="L105">
        <v>110.01</v>
      </c>
      <c r="O105">
        <v>0.7137</v>
      </c>
      <c r="P105">
        <v>32.948599999999999</v>
      </c>
      <c r="Q105" s="5">
        <v>4.9496665375187838</v>
      </c>
      <c r="R105" s="5">
        <f>N2O!R107</f>
        <v>273.86369999999999</v>
      </c>
      <c r="S105">
        <f t="shared" si="8"/>
        <v>1986.65</v>
      </c>
      <c r="T105">
        <f t="shared" si="9"/>
        <v>1.9866500000000003E-6</v>
      </c>
      <c r="U105">
        <f t="shared" si="10"/>
        <v>1</v>
      </c>
      <c r="V105" s="5">
        <f t="shared" si="6"/>
        <v>3.9042114611111445</v>
      </c>
      <c r="W105" s="50">
        <f t="shared" si="7"/>
        <v>126.77762428652113</v>
      </c>
    </row>
    <row r="106" spans="8:23" x14ac:dyDescent="0.25">
      <c r="H106">
        <v>33</v>
      </c>
      <c r="K106"/>
      <c r="L106">
        <v>159.94999999999999</v>
      </c>
      <c r="O106">
        <v>2.6513</v>
      </c>
      <c r="P106">
        <v>33.776499999999999</v>
      </c>
      <c r="Q106" s="5">
        <v>5.209967759752522</v>
      </c>
      <c r="R106" s="5">
        <f>N2O!R108</f>
        <v>275.80129999999997</v>
      </c>
      <c r="S106">
        <f t="shared" si="8"/>
        <v>1986.65</v>
      </c>
      <c r="T106">
        <f t="shared" si="9"/>
        <v>1.9866500000000003E-6</v>
      </c>
      <c r="U106">
        <f t="shared" si="10"/>
        <v>1</v>
      </c>
      <c r="V106" s="5">
        <f t="shared" si="6"/>
        <v>3.6689028018104759</v>
      </c>
      <c r="W106" s="50">
        <f t="shared" si="7"/>
        <v>142.00342830509393</v>
      </c>
    </row>
    <row r="107" spans="8:23" x14ac:dyDescent="0.25">
      <c r="H107">
        <v>33</v>
      </c>
      <c r="K107"/>
      <c r="L107">
        <v>3.09</v>
      </c>
      <c r="O107">
        <v>0.61619999999999997</v>
      </c>
      <c r="P107">
        <v>24.932300000000001</v>
      </c>
      <c r="Q107" s="5">
        <v>6.1738480888479108</v>
      </c>
      <c r="R107" s="5">
        <f>N2O!R109</f>
        <v>273.76619999999997</v>
      </c>
      <c r="S107">
        <f t="shared" si="8"/>
        <v>1986.65</v>
      </c>
      <c r="T107">
        <f t="shared" si="9"/>
        <v>1.9866500000000003E-6</v>
      </c>
      <c r="U107">
        <f t="shared" si="10"/>
        <v>1</v>
      </c>
      <c r="V107" s="5">
        <f t="shared" si="6"/>
        <v>4.1482687972750849</v>
      </c>
      <c r="W107" s="50">
        <f t="shared" si="7"/>
        <v>148.82950914134082</v>
      </c>
    </row>
    <row r="108" spans="8:23" x14ac:dyDescent="0.25">
      <c r="H108">
        <v>33</v>
      </c>
      <c r="K108"/>
      <c r="L108">
        <v>70</v>
      </c>
      <c r="O108">
        <v>0.37469999999999998</v>
      </c>
      <c r="P108">
        <v>32.267600000000002</v>
      </c>
      <c r="Q108" s="5">
        <v>5.1974986662080083</v>
      </c>
      <c r="R108" s="5">
        <f>N2O!R110</f>
        <v>273.5247</v>
      </c>
      <c r="S108">
        <f t="shared" si="8"/>
        <v>1986.65</v>
      </c>
      <c r="T108">
        <f t="shared" si="9"/>
        <v>1.9866500000000003E-6</v>
      </c>
      <c r="U108">
        <f t="shared" si="10"/>
        <v>1</v>
      </c>
      <c r="V108" s="5">
        <f t="shared" si="6"/>
        <v>3.9633627354103171</v>
      </c>
      <c r="W108" s="50">
        <f t="shared" si="7"/>
        <v>131.13860661229444</v>
      </c>
    </row>
    <row r="109" spans="8:23" x14ac:dyDescent="0.25">
      <c r="K109" s="42"/>
      <c r="O109" s="31"/>
      <c r="P109" s="48"/>
      <c r="Q109" s="5"/>
      <c r="R109" s="5"/>
      <c r="V109" s="5"/>
      <c r="W109" s="50"/>
    </row>
    <row r="110" spans="8:23" x14ac:dyDescent="0.25">
      <c r="K110" s="42"/>
      <c r="O110" s="31"/>
      <c r="P110" s="48"/>
      <c r="Q110" s="5"/>
      <c r="R110" s="5"/>
      <c r="V110" s="5"/>
      <c r="W110" s="50"/>
    </row>
    <row r="111" spans="8:23" x14ac:dyDescent="0.25">
      <c r="K111" s="42"/>
      <c r="O111" s="31"/>
      <c r="P111" s="48"/>
      <c r="Q111" s="5"/>
      <c r="R111" s="5"/>
      <c r="V111" s="5"/>
      <c r="W111" s="50"/>
    </row>
    <row r="112" spans="8:23" x14ac:dyDescent="0.25">
      <c r="K112" s="42"/>
      <c r="O112" s="31"/>
      <c r="P112" s="48"/>
      <c r="Q112" s="5"/>
      <c r="R112" s="5"/>
      <c r="V112" s="5"/>
      <c r="W112" s="50"/>
    </row>
    <row r="113" spans="8:23" x14ac:dyDescent="0.25">
      <c r="K113" s="42"/>
      <c r="O113" s="31"/>
      <c r="P113" s="48"/>
      <c r="Q113" s="5"/>
      <c r="R113" s="5"/>
      <c r="V113" s="5"/>
      <c r="W113" s="50"/>
    </row>
    <row r="114" spans="8:23" x14ac:dyDescent="0.25">
      <c r="K114" s="42"/>
      <c r="O114" s="31"/>
      <c r="P114" s="48"/>
      <c r="Q114" s="5"/>
      <c r="R114" s="5"/>
      <c r="V114" s="5"/>
      <c r="W114" s="50"/>
    </row>
    <row r="115" spans="8:23" x14ac:dyDescent="0.25">
      <c r="K115" s="42"/>
      <c r="O115" s="31"/>
      <c r="P115" s="48"/>
      <c r="Q115" s="5"/>
      <c r="R115" s="5"/>
      <c r="V115" s="5"/>
      <c r="W115" s="50"/>
    </row>
    <row r="116" spans="8:23" x14ac:dyDescent="0.25">
      <c r="H116" s="44"/>
      <c r="I116" s="44"/>
      <c r="J116" s="44"/>
      <c r="K116" s="45"/>
      <c r="L116" s="44"/>
      <c r="O116" s="44"/>
      <c r="P116" s="47"/>
      <c r="Q116" s="46"/>
      <c r="R116" s="5"/>
      <c r="V116" s="5"/>
      <c r="W116" s="50"/>
    </row>
    <row r="117" spans="8:23" x14ac:dyDescent="0.25">
      <c r="H117" s="44"/>
      <c r="I117" s="44"/>
      <c r="J117" s="44"/>
      <c r="K117" s="45"/>
      <c r="L117" s="44"/>
      <c r="O117" s="44"/>
      <c r="P117" s="47"/>
      <c r="Q117" s="46"/>
      <c r="R117" s="5"/>
      <c r="V117" s="5"/>
      <c r="W117" s="50"/>
    </row>
    <row r="118" spans="8:23" x14ac:dyDescent="0.25">
      <c r="H118" s="44"/>
      <c r="I118" s="44"/>
      <c r="J118" s="44"/>
      <c r="K118" s="45"/>
      <c r="L118" s="44"/>
      <c r="O118" s="44"/>
      <c r="P118" s="47"/>
      <c r="Q118" s="46"/>
      <c r="R118" s="5"/>
      <c r="V118" s="5"/>
      <c r="W118" s="50"/>
    </row>
    <row r="119" spans="8:23" x14ac:dyDescent="0.25">
      <c r="H119" s="44"/>
      <c r="I119" s="44"/>
      <c r="J119" s="44"/>
      <c r="K119" s="45"/>
      <c r="L119" s="44"/>
      <c r="O119" s="44"/>
      <c r="P119" s="47"/>
      <c r="Q119" s="46"/>
      <c r="R119" s="5"/>
      <c r="V119" s="5"/>
      <c r="W119" s="50"/>
    </row>
    <row r="120" spans="8:23" x14ac:dyDescent="0.25">
      <c r="H120" s="44"/>
      <c r="I120" s="44"/>
      <c r="J120" s="44"/>
      <c r="K120" s="45"/>
      <c r="L120" s="44"/>
      <c r="O120" s="44"/>
      <c r="P120" s="47"/>
      <c r="Q120" s="46"/>
      <c r="R120" s="5"/>
      <c r="V120" s="5"/>
      <c r="W120" s="50"/>
    </row>
    <row r="121" spans="8:23" x14ac:dyDescent="0.25">
      <c r="H121" s="44"/>
      <c r="I121" s="44"/>
      <c r="J121" s="44"/>
      <c r="K121" s="45"/>
      <c r="L121" s="44"/>
      <c r="O121" s="44"/>
      <c r="P121" s="47"/>
      <c r="Q121" s="46"/>
      <c r="R121" s="5"/>
      <c r="V121" s="5"/>
      <c r="W121" s="50"/>
    </row>
    <row r="122" spans="8:23" x14ac:dyDescent="0.25">
      <c r="H122" s="44"/>
      <c r="I122" s="44"/>
      <c r="J122" s="44"/>
      <c r="K122" s="45"/>
      <c r="L122" s="44"/>
      <c r="O122" s="44"/>
      <c r="P122" s="47"/>
      <c r="Q122" s="46"/>
      <c r="R122" s="5"/>
      <c r="V122" s="5"/>
      <c r="W122" s="50"/>
    </row>
    <row r="123" spans="8:23" x14ac:dyDescent="0.25">
      <c r="H123" s="44"/>
      <c r="I123" s="44"/>
      <c r="J123" s="44"/>
      <c r="K123" s="45"/>
      <c r="L123" s="44"/>
      <c r="O123" s="44"/>
      <c r="P123" s="47"/>
      <c r="Q123" s="46"/>
      <c r="R123" s="5"/>
      <c r="V123" s="5"/>
      <c r="W123" s="50"/>
    </row>
    <row r="124" spans="8:23" x14ac:dyDescent="0.25">
      <c r="H124" s="44"/>
      <c r="I124" s="44"/>
      <c r="J124" s="44"/>
      <c r="K124" s="45"/>
      <c r="L124" s="44"/>
      <c r="O124" s="44"/>
      <c r="P124" s="47"/>
      <c r="Q124" s="46"/>
      <c r="R124" s="5"/>
      <c r="V124" s="5"/>
      <c r="W124" s="50"/>
    </row>
    <row r="125" spans="8:23" x14ac:dyDescent="0.25">
      <c r="H125" s="44"/>
      <c r="I125" s="44"/>
      <c r="J125" s="44"/>
      <c r="K125" s="45"/>
      <c r="L125" s="44"/>
      <c r="O125" s="46"/>
      <c r="P125" s="47"/>
      <c r="Q125" s="46"/>
      <c r="R125" s="5"/>
      <c r="V125" s="5"/>
      <c r="W125" s="50"/>
    </row>
    <row r="126" spans="8:23" x14ac:dyDescent="0.25">
      <c r="K126" s="42"/>
      <c r="P126" s="4"/>
      <c r="Q126" s="5"/>
      <c r="R126" s="5"/>
      <c r="V126" s="5"/>
      <c r="W126" s="50"/>
    </row>
    <row r="127" spans="8:23" x14ac:dyDescent="0.25">
      <c r="K127" s="42"/>
      <c r="P127" s="4"/>
      <c r="Q127" s="5"/>
      <c r="R127" s="5"/>
      <c r="V127" s="5"/>
      <c r="W127" s="50"/>
    </row>
    <row r="128" spans="8:23" x14ac:dyDescent="0.25">
      <c r="K128" s="42"/>
      <c r="P128" s="4"/>
      <c r="Q128" s="5"/>
      <c r="R128" s="5"/>
      <c r="V128" s="5"/>
      <c r="W128" s="50"/>
    </row>
    <row r="129" spans="8:23" x14ac:dyDescent="0.25">
      <c r="K129" s="42"/>
      <c r="P129" s="4"/>
      <c r="Q129" s="5"/>
      <c r="R129" s="5"/>
      <c r="V129" s="5"/>
      <c r="W129" s="50"/>
    </row>
    <row r="130" spans="8:23" x14ac:dyDescent="0.25">
      <c r="K130" s="42"/>
      <c r="P130" s="4"/>
      <c r="Q130" s="5"/>
      <c r="R130" s="5"/>
      <c r="V130" s="5"/>
      <c r="W130" s="50"/>
    </row>
    <row r="131" spans="8:23" x14ac:dyDescent="0.25">
      <c r="K131" s="42"/>
      <c r="P131" s="4"/>
      <c r="Q131" s="5"/>
      <c r="R131" s="5"/>
      <c r="V131" s="5"/>
      <c r="W131" s="50"/>
    </row>
    <row r="132" spans="8:23" x14ac:dyDescent="0.25">
      <c r="K132" s="42"/>
      <c r="P132" s="4"/>
      <c r="Q132" s="5"/>
      <c r="R132" s="5"/>
      <c r="V132" s="5"/>
      <c r="W132" s="50"/>
    </row>
    <row r="133" spans="8:23" x14ac:dyDescent="0.25">
      <c r="K133" s="42"/>
      <c r="P133" s="4"/>
      <c r="Q133" s="5"/>
      <c r="R133" s="5"/>
      <c r="V133" s="5"/>
      <c r="W133" s="50"/>
    </row>
    <row r="134" spans="8:23" x14ac:dyDescent="0.25">
      <c r="H134" s="44"/>
      <c r="I134" s="44"/>
      <c r="J134" s="44"/>
      <c r="K134" s="45"/>
      <c r="L134" s="44"/>
      <c r="O134" s="44"/>
      <c r="P134" s="47"/>
      <c r="Q134" s="46"/>
      <c r="R134" s="5"/>
      <c r="V134" s="5"/>
      <c r="W134" s="50"/>
    </row>
    <row r="135" spans="8:23" x14ac:dyDescent="0.25">
      <c r="H135" s="44"/>
      <c r="I135" s="44"/>
      <c r="J135" s="44"/>
      <c r="K135" s="45"/>
      <c r="L135" s="44"/>
      <c r="O135" s="44"/>
      <c r="P135" s="47"/>
      <c r="Q135" s="46"/>
      <c r="R135" s="5"/>
      <c r="V135" s="5"/>
      <c r="W135" s="50"/>
    </row>
    <row r="136" spans="8:23" x14ac:dyDescent="0.25">
      <c r="H136" s="44"/>
      <c r="I136" s="44"/>
      <c r="J136" s="44"/>
      <c r="K136" s="45"/>
      <c r="L136" s="44"/>
      <c r="O136" s="44"/>
      <c r="P136" s="47"/>
      <c r="Q136" s="46"/>
      <c r="R136" s="5"/>
      <c r="V136" s="5"/>
      <c r="W136" s="50"/>
    </row>
    <row r="137" spans="8:23" x14ac:dyDescent="0.25">
      <c r="H137" s="44"/>
      <c r="I137" s="44"/>
      <c r="J137" s="44"/>
      <c r="K137" s="45"/>
      <c r="L137" s="44"/>
      <c r="O137" s="44"/>
      <c r="P137" s="47"/>
      <c r="Q137" s="46"/>
      <c r="R137" s="5"/>
      <c r="V137" s="5"/>
      <c r="W137" s="50"/>
    </row>
    <row r="138" spans="8:23" x14ac:dyDescent="0.25">
      <c r="H138" s="44"/>
      <c r="I138" s="44"/>
      <c r="J138" s="44"/>
      <c r="K138" s="45"/>
      <c r="L138" s="44"/>
      <c r="O138" s="44"/>
      <c r="P138" s="47"/>
      <c r="Q138" s="46"/>
      <c r="R138" s="5"/>
      <c r="V138" s="5"/>
      <c r="W138" s="50"/>
    </row>
    <row r="139" spans="8:23" x14ac:dyDescent="0.25">
      <c r="H139" s="44"/>
      <c r="I139" s="44"/>
      <c r="J139" s="44"/>
      <c r="K139" s="45"/>
      <c r="L139" s="44"/>
      <c r="O139" s="44"/>
      <c r="P139" s="47"/>
      <c r="Q139" s="49"/>
      <c r="R139" s="5"/>
      <c r="V139" s="5"/>
      <c r="W139" s="50"/>
    </row>
    <row r="140" spans="8:23" x14ac:dyDescent="0.25">
      <c r="H140" s="44"/>
      <c r="I140" s="44"/>
      <c r="J140" s="44"/>
      <c r="K140" s="45"/>
      <c r="L140" s="44"/>
      <c r="O140" s="46"/>
      <c r="P140" s="47"/>
      <c r="Q140" s="49"/>
      <c r="R140" s="5"/>
      <c r="V140" s="5"/>
      <c r="W140" s="50"/>
    </row>
    <row r="141" spans="8:23" x14ac:dyDescent="0.25">
      <c r="H141" s="44"/>
      <c r="I141" s="44"/>
      <c r="J141" s="44"/>
      <c r="K141" s="45"/>
      <c r="L141" s="44"/>
      <c r="O141" s="46"/>
      <c r="P141" s="47"/>
      <c r="Q141" s="49"/>
      <c r="R141" s="5"/>
      <c r="V141" s="5"/>
      <c r="W141" s="50"/>
    </row>
    <row r="142" spans="8:23" x14ac:dyDescent="0.25">
      <c r="H142" s="44"/>
      <c r="I142" s="44"/>
      <c r="J142" s="44"/>
      <c r="K142" s="45"/>
      <c r="L142" s="44"/>
      <c r="O142" s="46"/>
      <c r="P142" s="47"/>
      <c r="Q142" s="49"/>
      <c r="R142" s="5"/>
      <c r="V142" s="5"/>
      <c r="W142" s="50"/>
    </row>
    <row r="143" spans="8:23" x14ac:dyDescent="0.25">
      <c r="H143" s="44"/>
      <c r="I143" s="44"/>
      <c r="J143" s="44"/>
      <c r="K143" s="45"/>
      <c r="L143" s="44"/>
      <c r="O143" s="46"/>
      <c r="P143" s="47"/>
      <c r="Q143" s="49"/>
      <c r="R143" s="5"/>
      <c r="V143" s="5"/>
      <c r="W143" s="50"/>
    </row>
    <row r="144" spans="8:23" x14ac:dyDescent="0.25">
      <c r="Q144" s="5"/>
      <c r="V144" s="5"/>
      <c r="W144" s="50"/>
    </row>
    <row r="145" spans="17:23" x14ac:dyDescent="0.25">
      <c r="Q145" s="5"/>
      <c r="V145" s="5"/>
      <c r="W145" s="50"/>
    </row>
    <row r="146" spans="17:23" x14ac:dyDescent="0.25">
      <c r="Q146" s="5"/>
      <c r="V146" s="5"/>
      <c r="W146" s="50"/>
    </row>
    <row r="147" spans="17:23" x14ac:dyDescent="0.25">
      <c r="Q147" s="5"/>
      <c r="V147" s="5"/>
      <c r="W147" s="50"/>
    </row>
    <row r="148" spans="17:23" x14ac:dyDescent="0.25">
      <c r="Q148" s="5"/>
      <c r="V148" s="5"/>
      <c r="W148" s="50"/>
    </row>
    <row r="149" spans="17:23" x14ac:dyDescent="0.25">
      <c r="Q149" s="5"/>
      <c r="V149" s="5"/>
      <c r="W149" s="50"/>
    </row>
    <row r="150" spans="17:23" x14ac:dyDescent="0.25">
      <c r="Q150" s="5"/>
      <c r="V150" s="5"/>
      <c r="W150" s="50"/>
    </row>
    <row r="151" spans="17:23" x14ac:dyDescent="0.25">
      <c r="Q151" s="5"/>
      <c r="V151" s="5"/>
      <c r="W151" s="50"/>
    </row>
    <row r="152" spans="17:23" x14ac:dyDescent="0.25">
      <c r="Q152" s="5"/>
      <c r="V152" s="5"/>
      <c r="W152" s="50"/>
    </row>
    <row r="153" spans="17:23" x14ac:dyDescent="0.25">
      <c r="Q153" s="5"/>
      <c r="V153" s="5"/>
      <c r="W153" s="50"/>
    </row>
    <row r="154" spans="17:23" x14ac:dyDescent="0.25">
      <c r="Q154" s="5"/>
      <c r="V154" s="5"/>
      <c r="W154" s="50"/>
    </row>
    <row r="155" spans="17:23" x14ac:dyDescent="0.25">
      <c r="Q155" s="5"/>
      <c r="V155" s="5"/>
      <c r="W155" s="50"/>
    </row>
    <row r="156" spans="17:23" x14ac:dyDescent="0.25">
      <c r="Q156" s="5"/>
      <c r="V156" s="5"/>
      <c r="W156" s="50"/>
    </row>
    <row r="157" spans="17:23" x14ac:dyDescent="0.25">
      <c r="Q157" s="5"/>
      <c r="V157" s="5"/>
      <c r="W157" s="50"/>
    </row>
    <row r="158" spans="17:23" x14ac:dyDescent="0.25">
      <c r="Q158" s="5"/>
      <c r="V158" s="5"/>
      <c r="W158" s="50"/>
    </row>
    <row r="159" spans="17:23" x14ac:dyDescent="0.25">
      <c r="Q159" s="5"/>
      <c r="V159" s="5"/>
      <c r="W159" s="50"/>
    </row>
    <row r="160" spans="17:23" x14ac:dyDescent="0.25">
      <c r="Q160" s="5"/>
      <c r="V160" s="5"/>
      <c r="W160" s="50"/>
    </row>
    <row r="161" spans="17:23" x14ac:dyDescent="0.25">
      <c r="Q161" s="5"/>
      <c r="V161" s="5"/>
      <c r="W161" s="50"/>
    </row>
    <row r="162" spans="17:23" x14ac:dyDescent="0.25">
      <c r="Q162" s="5"/>
      <c r="V162" s="5"/>
      <c r="W162" s="50"/>
    </row>
    <row r="163" spans="17:23" x14ac:dyDescent="0.25">
      <c r="Q163" s="5"/>
      <c r="V163" s="5"/>
      <c r="W163" s="50"/>
    </row>
    <row r="164" spans="17:23" x14ac:dyDescent="0.25">
      <c r="Q164" s="5"/>
      <c r="V164" s="5"/>
      <c r="W164" s="50"/>
    </row>
    <row r="165" spans="17:23" x14ac:dyDescent="0.25">
      <c r="Q165" s="5"/>
      <c r="V165" s="5"/>
      <c r="W165" s="50"/>
    </row>
    <row r="166" spans="17:23" x14ac:dyDescent="0.25">
      <c r="Q166" s="5"/>
      <c r="V166" s="5"/>
      <c r="W166" s="50"/>
    </row>
    <row r="167" spans="17:23" x14ac:dyDescent="0.25">
      <c r="Q167" s="5"/>
      <c r="V167" s="5"/>
      <c r="W167" s="50"/>
    </row>
    <row r="168" spans="17:23" x14ac:dyDescent="0.25">
      <c r="Q168" s="5"/>
      <c r="V168" s="5"/>
      <c r="W168" s="50"/>
    </row>
    <row r="169" spans="17:23" x14ac:dyDescent="0.25">
      <c r="Q169" s="5"/>
      <c r="V169" s="5"/>
      <c r="W169" s="50"/>
    </row>
    <row r="170" spans="17:23" x14ac:dyDescent="0.25">
      <c r="Q170" s="5"/>
      <c r="V170" s="5"/>
      <c r="W170" s="50"/>
    </row>
    <row r="171" spans="17:23" x14ac:dyDescent="0.25">
      <c r="Q171" s="5"/>
      <c r="V171" s="5"/>
      <c r="W171" s="50"/>
    </row>
    <row r="172" spans="17:23" x14ac:dyDescent="0.25">
      <c r="Q172" s="5"/>
      <c r="V172" s="5"/>
      <c r="W172" s="50"/>
    </row>
    <row r="173" spans="17:23" x14ac:dyDescent="0.25">
      <c r="Q173" s="5"/>
      <c r="V173" s="5"/>
      <c r="W173" s="50"/>
    </row>
    <row r="174" spans="17:23" x14ac:dyDescent="0.25">
      <c r="Q174" s="5"/>
      <c r="V174" s="5"/>
      <c r="W174" s="50"/>
    </row>
    <row r="175" spans="17:23" x14ac:dyDescent="0.25">
      <c r="Q175" s="5"/>
      <c r="V175" s="5"/>
      <c r="W175" s="50"/>
    </row>
    <row r="176" spans="17:23" x14ac:dyDescent="0.25">
      <c r="Q176" s="5"/>
      <c r="V176" s="5"/>
      <c r="W176" s="50"/>
    </row>
    <row r="177" spans="17:23" x14ac:dyDescent="0.25">
      <c r="Q177" s="5"/>
      <c r="V177" s="5"/>
      <c r="W177" s="50"/>
    </row>
    <row r="178" spans="17:23" x14ac:dyDescent="0.25">
      <c r="Q178" s="5"/>
      <c r="V178" s="5"/>
      <c r="W178" s="50"/>
    </row>
    <row r="179" spans="17:23" x14ac:dyDescent="0.25">
      <c r="Q179" s="5"/>
      <c r="V179" s="5"/>
      <c r="W179" s="50"/>
    </row>
    <row r="180" spans="17:23" x14ac:dyDescent="0.25">
      <c r="Q180" s="5"/>
      <c r="V180" s="5"/>
      <c r="W180" s="50"/>
    </row>
    <row r="181" spans="17:23" x14ac:dyDescent="0.25">
      <c r="Q181" s="5"/>
      <c r="V181" s="5"/>
      <c r="W181" s="50"/>
    </row>
    <row r="182" spans="17:23" x14ac:dyDescent="0.25">
      <c r="Q182" s="5"/>
      <c r="V182" s="5"/>
      <c r="W182" s="50"/>
    </row>
    <row r="183" spans="17:23" x14ac:dyDescent="0.25">
      <c r="Q183" s="5"/>
      <c r="V183" s="5"/>
      <c r="W183" s="50"/>
    </row>
    <row r="184" spans="17:23" x14ac:dyDescent="0.25">
      <c r="Q184" s="5"/>
      <c r="V184" s="5"/>
      <c r="W184" s="50"/>
    </row>
    <row r="185" spans="17:23" x14ac:dyDescent="0.25">
      <c r="Q185" s="5"/>
      <c r="V185" s="5"/>
      <c r="W185" s="50"/>
    </row>
    <row r="186" spans="17:23" x14ac:dyDescent="0.25">
      <c r="Q186" s="5"/>
      <c r="V186" s="5"/>
      <c r="W186" s="50"/>
    </row>
    <row r="187" spans="17:23" x14ac:dyDescent="0.25">
      <c r="Q187" s="5"/>
      <c r="V187" s="5"/>
      <c r="W187" s="50"/>
    </row>
    <row r="188" spans="17:23" x14ac:dyDescent="0.25">
      <c r="Q188" s="5"/>
      <c r="V188" s="5"/>
      <c r="W188" s="50"/>
    </row>
    <row r="189" spans="17:23" x14ac:dyDescent="0.25">
      <c r="Q189" s="5"/>
      <c r="V189" s="5"/>
      <c r="W189" s="50"/>
    </row>
    <row r="190" spans="17:23" x14ac:dyDescent="0.25">
      <c r="Q190" s="5"/>
      <c r="V190" s="5"/>
      <c r="W190" s="50"/>
    </row>
    <row r="191" spans="17:23" x14ac:dyDescent="0.25">
      <c r="Q191" s="5"/>
      <c r="V191" s="5"/>
      <c r="W191" s="50"/>
    </row>
    <row r="192" spans="17:23" x14ac:dyDescent="0.25">
      <c r="Q192" s="5"/>
      <c r="V192" s="5"/>
      <c r="W192" s="50"/>
    </row>
    <row r="193" spans="17:23" x14ac:dyDescent="0.25">
      <c r="Q193" s="5"/>
      <c r="V193" s="5"/>
      <c r="W193" s="50"/>
    </row>
    <row r="194" spans="17:23" x14ac:dyDescent="0.25">
      <c r="Q194" s="5"/>
      <c r="V194" s="5"/>
      <c r="W194" s="50"/>
    </row>
    <row r="195" spans="17:23" x14ac:dyDescent="0.25">
      <c r="Q195" s="5"/>
      <c r="V195" s="5"/>
      <c r="W195" s="50"/>
    </row>
    <row r="196" spans="17:23" x14ac:dyDescent="0.25">
      <c r="Q196" s="5"/>
      <c r="V196" s="5"/>
      <c r="W196" s="50"/>
    </row>
    <row r="197" spans="17:23" x14ac:dyDescent="0.25">
      <c r="Q197" s="5"/>
      <c r="V197" s="5"/>
      <c r="W197" s="50"/>
    </row>
    <row r="198" spans="17:23" x14ac:dyDescent="0.25">
      <c r="Q198" s="5"/>
      <c r="V198" s="5"/>
      <c r="W198" s="50"/>
    </row>
    <row r="199" spans="17:23" x14ac:dyDescent="0.25">
      <c r="Q199" s="5"/>
      <c r="V199" s="5"/>
      <c r="W199" s="50"/>
    </row>
    <row r="200" spans="17:23" x14ac:dyDescent="0.25">
      <c r="Q200" s="5"/>
      <c r="V200" s="5"/>
      <c r="W200" s="50"/>
    </row>
    <row r="201" spans="17:23" x14ac:dyDescent="0.25">
      <c r="Q201" s="5"/>
      <c r="V201" s="5"/>
      <c r="W201" s="50"/>
    </row>
    <row r="202" spans="17:23" x14ac:dyDescent="0.25">
      <c r="Q202" s="5"/>
      <c r="V202" s="5"/>
      <c r="W202" s="50"/>
    </row>
    <row r="203" spans="17:23" x14ac:dyDescent="0.25">
      <c r="Q203" s="5"/>
      <c r="V203" s="5"/>
      <c r="W203" s="50"/>
    </row>
    <row r="204" spans="17:23" x14ac:dyDescent="0.25">
      <c r="Q204" s="5"/>
      <c r="V204" s="5"/>
      <c r="W204" s="50"/>
    </row>
    <row r="205" spans="17:23" x14ac:dyDescent="0.25">
      <c r="Q205" s="5"/>
      <c r="V205" s="5"/>
      <c r="W205" s="50"/>
    </row>
    <row r="206" spans="17:23" x14ac:dyDescent="0.25">
      <c r="Q206" s="5"/>
      <c r="V206" s="5"/>
      <c r="W206" s="50"/>
    </row>
    <row r="207" spans="17:23" x14ac:dyDescent="0.25">
      <c r="Q207" s="5"/>
      <c r="V207" s="5"/>
      <c r="W207" s="50"/>
    </row>
    <row r="208" spans="17:23" x14ac:dyDescent="0.25">
      <c r="Q208" s="5"/>
      <c r="V208" s="5"/>
      <c r="W208" s="50"/>
    </row>
    <row r="209" spans="17:23" x14ac:dyDescent="0.25">
      <c r="Q209" s="5"/>
      <c r="V209" s="5"/>
      <c r="W209" s="50"/>
    </row>
    <row r="210" spans="17:23" x14ac:dyDescent="0.25">
      <c r="Q210" s="5"/>
      <c r="V210" s="5"/>
      <c r="W210" s="50"/>
    </row>
    <row r="211" spans="17:23" x14ac:dyDescent="0.25">
      <c r="Q211" s="5"/>
      <c r="V211" s="5"/>
      <c r="W211" s="50"/>
    </row>
    <row r="212" spans="17:23" x14ac:dyDescent="0.25">
      <c r="Q212" s="5"/>
      <c r="V212" s="5"/>
      <c r="W212" s="50"/>
    </row>
    <row r="213" spans="17:23" x14ac:dyDescent="0.25">
      <c r="Q213" s="5"/>
      <c r="V213" s="5"/>
      <c r="W213" s="50"/>
    </row>
    <row r="214" spans="17:23" x14ac:dyDescent="0.25">
      <c r="Q214" s="5"/>
      <c r="V214" s="5"/>
      <c r="W214" s="50"/>
    </row>
    <row r="215" spans="17:23" x14ac:dyDescent="0.25">
      <c r="Q215" s="5"/>
      <c r="V215" s="5"/>
      <c r="W215" s="50"/>
    </row>
    <row r="216" spans="17:23" x14ac:dyDescent="0.25">
      <c r="Q216" s="5"/>
      <c r="V216" s="5"/>
      <c r="W216" s="50"/>
    </row>
    <row r="217" spans="17:23" x14ac:dyDescent="0.25">
      <c r="Q217" s="5"/>
      <c r="V217" s="5"/>
      <c r="W217" s="50"/>
    </row>
    <row r="218" spans="17:23" x14ac:dyDescent="0.25">
      <c r="Q218" s="5"/>
      <c r="V218" s="5"/>
      <c r="W218" s="50"/>
    </row>
    <row r="219" spans="17:23" x14ac:dyDescent="0.25">
      <c r="Q219" s="5"/>
      <c r="V219" s="5"/>
      <c r="W219" s="50"/>
    </row>
    <row r="220" spans="17:23" x14ac:dyDescent="0.25">
      <c r="Q220" s="5"/>
      <c r="V220" s="5"/>
      <c r="W220" s="50"/>
    </row>
    <row r="221" spans="17:23" x14ac:dyDescent="0.25">
      <c r="Q221" s="5"/>
      <c r="V221" s="5"/>
      <c r="W221" s="50"/>
    </row>
    <row r="222" spans="17:23" x14ac:dyDescent="0.25">
      <c r="Q222" s="5"/>
      <c r="V222" s="5"/>
      <c r="W222" s="50"/>
    </row>
    <row r="223" spans="17:23" x14ac:dyDescent="0.25">
      <c r="Q223" s="5"/>
      <c r="V223" s="5"/>
      <c r="W223" s="50"/>
    </row>
    <row r="224" spans="17:23" x14ac:dyDescent="0.25">
      <c r="Q224" s="5"/>
      <c r="V224" s="5"/>
      <c r="W224" s="50"/>
    </row>
    <row r="225" spans="17:23" x14ac:dyDescent="0.25">
      <c r="Q225" s="5"/>
      <c r="V225" s="5"/>
      <c r="W225" s="50"/>
    </row>
    <row r="226" spans="17:23" x14ac:dyDescent="0.25">
      <c r="Q226" s="5"/>
      <c r="V226" s="5"/>
      <c r="W226" s="50"/>
    </row>
    <row r="227" spans="17:23" x14ac:dyDescent="0.25">
      <c r="Q227" s="5"/>
      <c r="V227" s="5"/>
      <c r="W227" s="50"/>
    </row>
    <row r="228" spans="17:23" x14ac:dyDescent="0.25">
      <c r="Q228" s="5"/>
      <c r="V228" s="5"/>
      <c r="W228" s="50"/>
    </row>
    <row r="229" spans="17:23" x14ac:dyDescent="0.25">
      <c r="Q229" s="5"/>
      <c r="V229" s="5"/>
      <c r="W229" s="50"/>
    </row>
    <row r="230" spans="17:23" x14ac:dyDescent="0.25">
      <c r="Q230" s="5"/>
      <c r="V230" s="5"/>
      <c r="W230" s="50"/>
    </row>
    <row r="231" spans="17:23" x14ac:dyDescent="0.25">
      <c r="Q231" s="5"/>
      <c r="V231" s="5"/>
      <c r="W231" s="50"/>
    </row>
    <row r="232" spans="17:23" x14ac:dyDescent="0.25">
      <c r="Q232" s="5"/>
      <c r="V232" s="5"/>
      <c r="W232" s="50"/>
    </row>
    <row r="233" spans="17:23" x14ac:dyDescent="0.25">
      <c r="Q233" s="5"/>
      <c r="V233" s="5"/>
      <c r="W233" s="50"/>
    </row>
    <row r="234" spans="17:23" x14ac:dyDescent="0.25">
      <c r="Q234" s="5"/>
      <c r="V234" s="5"/>
      <c r="W234" s="50"/>
    </row>
    <row r="235" spans="17:23" x14ac:dyDescent="0.25">
      <c r="Q235" s="5"/>
      <c r="V235" s="5"/>
      <c r="W235" s="50"/>
    </row>
    <row r="236" spans="17:23" x14ac:dyDescent="0.25">
      <c r="Q236" s="5"/>
      <c r="V236" s="5"/>
      <c r="W236" s="50"/>
    </row>
    <row r="237" spans="17:23" x14ac:dyDescent="0.25">
      <c r="Q237" s="5"/>
      <c r="V237" s="5"/>
      <c r="W237" s="50"/>
    </row>
    <row r="238" spans="17:23" x14ac:dyDescent="0.25">
      <c r="Q238" s="5"/>
      <c r="V238" s="5"/>
      <c r="W238" s="50"/>
    </row>
    <row r="239" spans="17:23" x14ac:dyDescent="0.25">
      <c r="Q239" s="5"/>
      <c r="V239" s="5"/>
      <c r="W239" s="50"/>
    </row>
    <row r="240" spans="17:23" x14ac:dyDescent="0.25">
      <c r="Q240" s="5"/>
      <c r="V240" s="5"/>
      <c r="W240" s="50"/>
    </row>
    <row r="241" spans="17:23" x14ac:dyDescent="0.25">
      <c r="Q241" s="5"/>
      <c r="V241" s="5"/>
      <c r="W241" s="50"/>
    </row>
    <row r="242" spans="17:23" x14ac:dyDescent="0.25">
      <c r="Q242" s="5"/>
      <c r="V242" s="5"/>
      <c r="W242" s="50"/>
    </row>
    <row r="243" spans="17:23" x14ac:dyDescent="0.25">
      <c r="Q243" s="5"/>
      <c r="V243" s="5"/>
      <c r="W243" s="50"/>
    </row>
    <row r="244" spans="17:23" x14ac:dyDescent="0.25">
      <c r="Q244" s="5"/>
      <c r="V244" s="5"/>
      <c r="W244" s="50"/>
    </row>
    <row r="245" spans="17:23" x14ac:dyDescent="0.25">
      <c r="Q245" s="5"/>
      <c r="V245" s="5"/>
      <c r="W245" s="50"/>
    </row>
    <row r="246" spans="17:23" x14ac:dyDescent="0.25">
      <c r="Q246" s="5"/>
      <c r="V246" s="5"/>
      <c r="W246" s="50"/>
    </row>
    <row r="247" spans="17:23" x14ac:dyDescent="0.25">
      <c r="Q247" s="5"/>
      <c r="V247" s="5"/>
      <c r="W247" s="50"/>
    </row>
    <row r="248" spans="17:23" x14ac:dyDescent="0.25">
      <c r="Q248" s="5"/>
      <c r="V248" s="5"/>
      <c r="W248" s="50"/>
    </row>
    <row r="249" spans="17:23" x14ac:dyDescent="0.25">
      <c r="Q249" s="5"/>
      <c r="V249" s="5"/>
      <c r="W249" s="50"/>
    </row>
    <row r="250" spans="17:23" x14ac:dyDescent="0.25">
      <c r="Q250" s="5"/>
      <c r="V250" s="5"/>
      <c r="W250" s="50"/>
    </row>
    <row r="251" spans="17:23" x14ac:dyDescent="0.25">
      <c r="Q251" s="5"/>
      <c r="V251" s="5"/>
      <c r="W251" s="50"/>
    </row>
    <row r="252" spans="17:23" x14ac:dyDescent="0.25">
      <c r="Q252" s="5"/>
      <c r="V252" s="5"/>
      <c r="W252" s="50"/>
    </row>
    <row r="253" spans="17:23" x14ac:dyDescent="0.25">
      <c r="Q253" s="5"/>
      <c r="V253" s="5"/>
      <c r="W253" s="50"/>
    </row>
    <row r="254" spans="17:23" x14ac:dyDescent="0.25">
      <c r="Q254" s="5"/>
      <c r="V254" s="5"/>
      <c r="W254" s="50"/>
    </row>
    <row r="255" spans="17:23" x14ac:dyDescent="0.25">
      <c r="Q255" s="5"/>
      <c r="V255" s="5"/>
      <c r="W255" s="50"/>
    </row>
    <row r="256" spans="17:23" x14ac:dyDescent="0.25">
      <c r="Q256" s="5"/>
      <c r="V256" s="5"/>
      <c r="W256" s="50"/>
    </row>
    <row r="257" spans="17:23" x14ac:dyDescent="0.25">
      <c r="Q257" s="5"/>
      <c r="V257" s="5"/>
      <c r="W257" s="50"/>
    </row>
    <row r="258" spans="17:23" x14ac:dyDescent="0.25">
      <c r="Q258" s="5"/>
      <c r="V258" s="5"/>
      <c r="W258" s="50"/>
    </row>
    <row r="259" spans="17:23" x14ac:dyDescent="0.25">
      <c r="Q259" s="5"/>
      <c r="V259" s="5"/>
      <c r="W259" s="50"/>
    </row>
    <row r="260" spans="17:23" x14ac:dyDescent="0.25">
      <c r="Q260" s="5"/>
      <c r="V260" s="5"/>
      <c r="W260" s="50"/>
    </row>
    <row r="261" spans="17:23" x14ac:dyDescent="0.25">
      <c r="Q261" s="5"/>
      <c r="V261" s="5"/>
      <c r="W261" s="50"/>
    </row>
    <row r="262" spans="17:23" x14ac:dyDescent="0.25">
      <c r="Q262" s="5"/>
      <c r="V262" s="5"/>
      <c r="W262" s="50"/>
    </row>
    <row r="263" spans="17:23" x14ac:dyDescent="0.25">
      <c r="Q263" s="5"/>
      <c r="V263" s="5"/>
      <c r="W263" s="50"/>
    </row>
    <row r="264" spans="17:23" x14ac:dyDescent="0.25">
      <c r="Q264" s="5"/>
      <c r="V264" s="5"/>
      <c r="W264" s="50"/>
    </row>
    <row r="265" spans="17:23" x14ac:dyDescent="0.25">
      <c r="Q265" s="5"/>
      <c r="V265" s="5"/>
      <c r="W265" s="50"/>
    </row>
    <row r="266" spans="17:23" x14ac:dyDescent="0.25">
      <c r="Q266" s="5"/>
      <c r="V266" s="5"/>
      <c r="W266" s="50"/>
    </row>
    <row r="267" spans="17:23" x14ac:dyDescent="0.25">
      <c r="Q267" s="5"/>
      <c r="V267" s="5"/>
      <c r="W267" s="50"/>
    </row>
    <row r="268" spans="17:23" x14ac:dyDescent="0.25">
      <c r="Q268" s="5"/>
      <c r="V268" s="5"/>
      <c r="W268" s="50"/>
    </row>
    <row r="269" spans="17:23" x14ac:dyDescent="0.25">
      <c r="Q269" s="5"/>
      <c r="V269" s="5"/>
      <c r="W269" s="50"/>
    </row>
    <row r="270" spans="17:23" x14ac:dyDescent="0.25">
      <c r="Q270" s="5"/>
      <c r="V270" s="5"/>
      <c r="W270" s="50"/>
    </row>
    <row r="271" spans="17:23" x14ac:dyDescent="0.25">
      <c r="Q271" s="5"/>
      <c r="V271" s="5"/>
      <c r="W271" s="50"/>
    </row>
    <row r="272" spans="17:23" x14ac:dyDescent="0.25">
      <c r="Q272" s="5"/>
      <c r="V272" s="5"/>
      <c r="W272" s="50"/>
    </row>
    <row r="273" spans="17:23" x14ac:dyDescent="0.25">
      <c r="Q273" s="5"/>
      <c r="V273" s="5"/>
      <c r="W273" s="50"/>
    </row>
    <row r="274" spans="17:23" x14ac:dyDescent="0.25">
      <c r="Q274" s="5"/>
      <c r="V274" s="5"/>
      <c r="W274" s="50"/>
    </row>
    <row r="275" spans="17:23" x14ac:dyDescent="0.25">
      <c r="Q275" s="5"/>
      <c r="V275" s="5"/>
      <c r="W275" s="50"/>
    </row>
    <row r="276" spans="17:23" x14ac:dyDescent="0.25">
      <c r="Q276" s="5"/>
      <c r="V276" s="5"/>
      <c r="W276" s="50"/>
    </row>
    <row r="277" spans="17:23" x14ac:dyDescent="0.25">
      <c r="Q277" s="5"/>
      <c r="V277" s="5"/>
      <c r="W277" s="50"/>
    </row>
    <row r="278" spans="17:23" x14ac:dyDescent="0.25">
      <c r="Q278" s="5"/>
      <c r="V278" s="5"/>
      <c r="W278" s="50"/>
    </row>
    <row r="279" spans="17:23" x14ac:dyDescent="0.25">
      <c r="Q279" s="5"/>
      <c r="V279" s="5"/>
      <c r="W279" s="50"/>
    </row>
    <row r="280" spans="17:23" x14ac:dyDescent="0.25">
      <c r="Q280" s="5"/>
      <c r="V280" s="5"/>
      <c r="W280" s="50"/>
    </row>
    <row r="281" spans="17:23" x14ac:dyDescent="0.25">
      <c r="Q281" s="5"/>
      <c r="V281" s="5"/>
      <c r="W281" s="50"/>
    </row>
    <row r="282" spans="17:23" x14ac:dyDescent="0.25">
      <c r="Q282" s="5"/>
      <c r="V282" s="5"/>
      <c r="W282" s="50"/>
    </row>
    <row r="283" spans="17:23" x14ac:dyDescent="0.25">
      <c r="Q283" s="5"/>
      <c r="V283" s="5"/>
      <c r="W283" s="50"/>
    </row>
    <row r="284" spans="17:23" x14ac:dyDescent="0.25">
      <c r="Q284" s="5"/>
      <c r="V284" s="5"/>
      <c r="W284" s="50"/>
    </row>
    <row r="285" spans="17:23" x14ac:dyDescent="0.25">
      <c r="Q285" s="5"/>
      <c r="V285" s="5"/>
      <c r="W285" s="50"/>
    </row>
    <row r="286" spans="17:23" x14ac:dyDescent="0.25">
      <c r="Q286" s="5"/>
      <c r="V286" s="5"/>
      <c r="W286" s="50"/>
    </row>
    <row r="287" spans="17:23" x14ac:dyDescent="0.25">
      <c r="Q287" s="5"/>
      <c r="V287" s="5"/>
      <c r="W287" s="50"/>
    </row>
    <row r="288" spans="17:23" x14ac:dyDescent="0.25">
      <c r="Q288" s="5"/>
      <c r="V288" s="5"/>
      <c r="W288" s="50"/>
    </row>
    <row r="289" spans="8:23" x14ac:dyDescent="0.25">
      <c r="H289" s="33"/>
      <c r="I289" s="33"/>
      <c r="J289" s="33"/>
      <c r="K289" s="34"/>
      <c r="Q289" s="26"/>
      <c r="V289" s="5"/>
      <c r="W289" s="50"/>
    </row>
    <row r="290" spans="8:23" x14ac:dyDescent="0.25">
      <c r="H290" s="33"/>
      <c r="I290" s="33"/>
      <c r="J290" s="33"/>
      <c r="K290" s="34"/>
      <c r="Q290" s="26"/>
      <c r="V290" s="5"/>
      <c r="W290" s="50"/>
    </row>
    <row r="291" spans="8:23" x14ac:dyDescent="0.25">
      <c r="H291" s="33"/>
      <c r="I291" s="33"/>
      <c r="J291" s="33"/>
      <c r="K291" s="34"/>
      <c r="Q291" s="26"/>
      <c r="V291" s="5"/>
      <c r="W291" s="50"/>
    </row>
    <row r="292" spans="8:23" x14ac:dyDescent="0.25">
      <c r="H292" s="33"/>
      <c r="I292" s="33"/>
      <c r="J292" s="33"/>
      <c r="K292" s="34"/>
      <c r="Q292" s="26"/>
      <c r="V292" s="5"/>
      <c r="W292" s="50"/>
    </row>
    <row r="293" spans="8:23" x14ac:dyDescent="0.25">
      <c r="H293" s="33"/>
      <c r="I293" s="33"/>
      <c r="J293" s="33"/>
      <c r="K293" s="34"/>
      <c r="Q293" s="26"/>
      <c r="V293" s="5"/>
      <c r="W293" s="50"/>
    </row>
    <row r="294" spans="8:23" x14ac:dyDescent="0.25">
      <c r="H294" s="33"/>
      <c r="I294" s="33"/>
      <c r="J294" s="33"/>
      <c r="K294" s="34"/>
      <c r="Q294" s="26"/>
      <c r="V294" s="5"/>
      <c r="W294" s="50"/>
    </row>
    <row r="295" spans="8:23" x14ac:dyDescent="0.25">
      <c r="H295" s="33"/>
      <c r="I295" s="33"/>
      <c r="J295" s="33"/>
      <c r="Q295" s="26"/>
      <c r="V295" s="5"/>
      <c r="W295" s="50"/>
    </row>
    <row r="296" spans="8:23" x14ac:dyDescent="0.25">
      <c r="H296" s="33"/>
      <c r="I296" s="33"/>
      <c r="J296" s="33"/>
      <c r="Q296" s="26"/>
      <c r="V296" s="5"/>
      <c r="W296" s="50"/>
    </row>
    <row r="297" spans="8:23" x14ac:dyDescent="0.25">
      <c r="K297" s="34"/>
      <c r="Q297" s="40"/>
      <c r="V297" s="5"/>
      <c r="W297" s="50"/>
    </row>
    <row r="298" spans="8:23" x14ac:dyDescent="0.25">
      <c r="K298" s="34"/>
      <c r="Q298" s="26"/>
      <c r="V298" s="5"/>
      <c r="W298" s="50"/>
    </row>
    <row r="299" spans="8:23" x14ac:dyDescent="0.25">
      <c r="K299" s="34"/>
      <c r="Q299" s="39"/>
      <c r="V299" s="5"/>
      <c r="W299" s="50"/>
    </row>
    <row r="300" spans="8:23" x14ac:dyDescent="0.25">
      <c r="K300" s="37"/>
      <c r="Q300" s="39"/>
      <c r="V300" s="5"/>
      <c r="W300" s="50"/>
    </row>
    <row r="301" spans="8:23" x14ac:dyDescent="0.25">
      <c r="K301" s="37"/>
      <c r="Q301" s="26"/>
      <c r="V301" s="5"/>
      <c r="W301" s="50"/>
    </row>
    <row r="302" spans="8:23" x14ac:dyDescent="0.25">
      <c r="K302" s="37"/>
      <c r="Q302" s="26"/>
      <c r="V302" s="5"/>
      <c r="W302" s="50"/>
    </row>
    <row r="303" spans="8:23" x14ac:dyDescent="0.25">
      <c r="K303" s="37"/>
      <c r="Q303" s="41"/>
      <c r="V303" s="5"/>
      <c r="W303" s="50"/>
    </row>
    <row r="304" spans="8:23" x14ac:dyDescent="0.25">
      <c r="H304" s="33"/>
      <c r="I304" s="33"/>
      <c r="J304" s="33"/>
      <c r="N304"/>
      <c r="Q304" s="26"/>
      <c r="V304" s="5"/>
      <c r="W304" s="50"/>
    </row>
    <row r="305" spans="8:23" x14ac:dyDescent="0.25">
      <c r="K305" s="37"/>
      <c r="Q305" s="26"/>
      <c r="V305" s="5"/>
      <c r="W305" s="50"/>
    </row>
    <row r="306" spans="8:23" x14ac:dyDescent="0.25">
      <c r="K306" s="37"/>
      <c r="Q306" s="26"/>
      <c r="R306" s="14"/>
      <c r="V306" s="5"/>
      <c r="W306" s="50"/>
    </row>
    <row r="307" spans="8:23" x14ac:dyDescent="0.25">
      <c r="K307" s="37"/>
      <c r="Q307" s="26"/>
      <c r="V307" s="5"/>
      <c r="W307" s="50"/>
    </row>
    <row r="308" spans="8:23" x14ac:dyDescent="0.25">
      <c r="K308" s="37"/>
      <c r="Q308" s="26"/>
      <c r="V308" s="5"/>
      <c r="W308" s="50"/>
    </row>
    <row r="309" spans="8:23" x14ac:dyDescent="0.25">
      <c r="K309" s="37"/>
      <c r="Q309" s="26"/>
      <c r="V309" s="5"/>
      <c r="W309" s="50"/>
    </row>
    <row r="310" spans="8:23" x14ac:dyDescent="0.25">
      <c r="K310" s="37"/>
      <c r="Q310" s="26"/>
      <c r="V310" s="5"/>
      <c r="W310" s="50"/>
    </row>
    <row r="311" spans="8:23" x14ac:dyDescent="0.25">
      <c r="K311" s="37"/>
      <c r="Q311" s="26"/>
      <c r="V311" s="5"/>
      <c r="W311" s="50"/>
    </row>
    <row r="312" spans="8:23" x14ac:dyDescent="0.25">
      <c r="K312" s="37"/>
      <c r="Q312" s="26"/>
      <c r="V312" s="5"/>
      <c r="W312" s="50"/>
    </row>
    <row r="313" spans="8:23" x14ac:dyDescent="0.25">
      <c r="K313" s="37"/>
      <c r="Q313" s="26"/>
      <c r="V313" s="5"/>
      <c r="W313" s="50"/>
    </row>
    <row r="314" spans="8:23" x14ac:dyDescent="0.25">
      <c r="K314" s="37"/>
      <c r="Q314" s="26"/>
      <c r="V314" s="5"/>
      <c r="W314" s="50"/>
    </row>
    <row r="315" spans="8:23" x14ac:dyDescent="0.25">
      <c r="H315" s="33"/>
      <c r="I315" s="33"/>
      <c r="J315" s="33"/>
      <c r="Q315" s="26"/>
      <c r="V315" s="5"/>
      <c r="W315" s="50"/>
    </row>
    <row r="316" spans="8:23" x14ac:dyDescent="0.25">
      <c r="H316" s="33"/>
      <c r="I316" s="33"/>
      <c r="J316" s="33"/>
      <c r="Q316" s="26"/>
      <c r="V316" s="5"/>
      <c r="W316" s="50"/>
    </row>
    <row r="317" spans="8:23" x14ac:dyDescent="0.25">
      <c r="H317" s="33"/>
      <c r="I317" s="33"/>
      <c r="J317" s="33"/>
      <c r="K317" s="37"/>
      <c r="P317" s="5"/>
      <c r="Q317" s="26"/>
      <c r="V317" s="5"/>
      <c r="W317" s="50"/>
    </row>
    <row r="318" spans="8:23" x14ac:dyDescent="0.25">
      <c r="H318" s="33"/>
      <c r="I318" s="33"/>
      <c r="J318" s="33"/>
      <c r="K318" s="37"/>
      <c r="Q318" s="26"/>
      <c r="V318" s="5"/>
      <c r="W318" s="50"/>
    </row>
    <row r="319" spans="8:23" x14ac:dyDescent="0.25">
      <c r="H319" s="33"/>
      <c r="I319" s="33"/>
      <c r="J319" s="33"/>
      <c r="K319" s="37"/>
      <c r="Q319" s="26"/>
      <c r="V319" s="5"/>
      <c r="W319" s="50"/>
    </row>
    <row r="320" spans="8:23" x14ac:dyDescent="0.25">
      <c r="H320" s="33"/>
      <c r="I320" s="33"/>
      <c r="J320" s="33"/>
      <c r="K320" s="37"/>
      <c r="Q320" s="26"/>
      <c r="V320" s="5"/>
      <c r="W320" s="50"/>
    </row>
    <row r="321" spans="8:23" x14ac:dyDescent="0.25">
      <c r="H321" s="33"/>
      <c r="I321" s="33"/>
      <c r="J321" s="33"/>
      <c r="K321" s="37"/>
      <c r="Q321" s="26"/>
      <c r="V321" s="5"/>
      <c r="W321" s="50"/>
    </row>
    <row r="322" spans="8:23" x14ac:dyDescent="0.25">
      <c r="H322" s="33"/>
      <c r="I322" s="33"/>
      <c r="J322" s="33"/>
      <c r="K322" s="37"/>
      <c r="Q322" s="26"/>
      <c r="V322" s="5"/>
      <c r="W322" s="50"/>
    </row>
    <row r="323" spans="8:23" x14ac:dyDescent="0.25">
      <c r="H323" s="33"/>
      <c r="I323" s="33"/>
      <c r="J323" s="33"/>
      <c r="K323" s="37"/>
      <c r="Q323" s="26"/>
      <c r="V323" s="5"/>
      <c r="W323" s="50"/>
    </row>
    <row r="324" spans="8:23" x14ac:dyDescent="0.25">
      <c r="H324" s="33"/>
      <c r="I324" s="33"/>
      <c r="J324" s="33"/>
      <c r="K324" s="37"/>
      <c r="Q324" s="26"/>
      <c r="V324" s="5"/>
      <c r="W324" s="50"/>
    </row>
    <row r="325" spans="8:23" x14ac:dyDescent="0.25">
      <c r="H325" s="33"/>
      <c r="I325" s="33"/>
      <c r="J325" s="33"/>
      <c r="K325" s="37"/>
      <c r="Q325" s="26"/>
      <c r="R325" s="14"/>
      <c r="V325" s="5"/>
      <c r="W325" s="50"/>
    </row>
    <row r="326" spans="8:23" x14ac:dyDescent="0.25">
      <c r="H326" s="33"/>
      <c r="I326" s="33"/>
      <c r="J326" s="33"/>
      <c r="K326" s="37"/>
      <c r="Q326" s="26"/>
      <c r="V326" s="5"/>
      <c r="W326" s="50"/>
    </row>
    <row r="327" spans="8:23" x14ac:dyDescent="0.25">
      <c r="H327" s="33"/>
      <c r="I327" s="33"/>
      <c r="J327" s="33"/>
      <c r="K327" s="37"/>
      <c r="Q327" s="26"/>
      <c r="V327" s="5"/>
      <c r="W327" s="50"/>
    </row>
    <row r="328" spans="8:23" x14ac:dyDescent="0.25">
      <c r="H328" s="33"/>
      <c r="I328" s="33"/>
      <c r="J328" s="33"/>
      <c r="K328" s="37"/>
      <c r="Q328" s="26"/>
      <c r="V328" s="5"/>
      <c r="W328" s="50"/>
    </row>
    <row r="329" spans="8:23" x14ac:dyDescent="0.25">
      <c r="H329" s="33"/>
      <c r="I329" s="33"/>
      <c r="J329" s="33"/>
      <c r="K329" s="37"/>
      <c r="Q329" s="26"/>
      <c r="V329" s="5"/>
      <c r="W329" s="50"/>
    </row>
    <row r="330" spans="8:23" x14ac:dyDescent="0.25">
      <c r="H330" s="33"/>
      <c r="I330" s="33"/>
      <c r="J330" s="33"/>
      <c r="K330"/>
      <c r="Q330" s="26"/>
      <c r="V330" s="5"/>
      <c r="W330" s="17"/>
    </row>
    <row r="331" spans="8:23" x14ac:dyDescent="0.25">
      <c r="H331" s="33"/>
      <c r="I331" s="33"/>
      <c r="J331" s="33"/>
      <c r="K331"/>
      <c r="Q331" s="26"/>
      <c r="V331" s="5"/>
      <c r="W331" s="17"/>
    </row>
    <row r="332" spans="8:23" x14ac:dyDescent="0.25">
      <c r="H332" s="33"/>
      <c r="I332" s="33"/>
      <c r="J332" s="33"/>
      <c r="K332" s="37"/>
      <c r="Q332" s="26"/>
      <c r="V332" s="5"/>
      <c r="W332" s="17"/>
    </row>
    <row r="333" spans="8:23" x14ac:dyDescent="0.25">
      <c r="H333" s="33"/>
      <c r="I333" s="33"/>
      <c r="J333" s="33"/>
      <c r="K333" s="37"/>
      <c r="Q333" s="39"/>
      <c r="V333" s="5"/>
      <c r="W333" s="17"/>
    </row>
    <row r="334" spans="8:23" x14ac:dyDescent="0.25">
      <c r="H334" s="33"/>
      <c r="I334" s="33"/>
      <c r="J334" s="33"/>
      <c r="K334" s="37"/>
      <c r="Q334" s="26"/>
      <c r="V334" s="5"/>
      <c r="W334" s="17"/>
    </row>
    <row r="335" spans="8:23" x14ac:dyDescent="0.25">
      <c r="H335" s="33"/>
      <c r="I335" s="33"/>
      <c r="J335" s="33"/>
      <c r="K335" s="37"/>
      <c r="Q335" s="26"/>
      <c r="V335" s="5"/>
      <c r="W335" s="17"/>
    </row>
    <row r="336" spans="8:23" x14ac:dyDescent="0.25">
      <c r="H336" s="33"/>
      <c r="I336" s="33"/>
      <c r="J336" s="33"/>
      <c r="K336" s="37"/>
      <c r="Q336" s="26"/>
      <c r="V336" s="5"/>
      <c r="W336" s="17"/>
    </row>
    <row r="337" spans="8:23" x14ac:dyDescent="0.25">
      <c r="H337" s="33"/>
      <c r="I337" s="33"/>
      <c r="J337" s="33"/>
      <c r="K337" s="37"/>
      <c r="Q337" s="26"/>
      <c r="V337" s="5"/>
      <c r="W337" s="17"/>
    </row>
    <row r="338" spans="8:23" x14ac:dyDescent="0.25">
      <c r="H338" s="33"/>
      <c r="I338" s="33"/>
      <c r="J338" s="33"/>
      <c r="K338" s="37"/>
      <c r="Q338" s="26"/>
      <c r="V338" s="5"/>
      <c r="W338" s="17"/>
    </row>
    <row r="339" spans="8:23" x14ac:dyDescent="0.25">
      <c r="H339" s="33"/>
      <c r="I339" s="33"/>
      <c r="J339" s="33"/>
      <c r="K339" s="37"/>
      <c r="Q339" s="26"/>
      <c r="V339" s="5"/>
      <c r="W339" s="17"/>
    </row>
    <row r="340" spans="8:23" x14ac:dyDescent="0.25">
      <c r="H340" s="33"/>
      <c r="I340" s="33"/>
      <c r="J340" s="33"/>
      <c r="K340" s="37"/>
      <c r="Q340" s="26"/>
      <c r="V340" s="5"/>
      <c r="W340" s="17"/>
    </row>
    <row r="341" spans="8:23" x14ac:dyDescent="0.25">
      <c r="H341" s="33"/>
      <c r="I341" s="33"/>
      <c r="J341" s="33"/>
      <c r="K341"/>
      <c r="Q341" s="26"/>
      <c r="V341" s="5"/>
      <c r="W341" s="17"/>
    </row>
    <row r="342" spans="8:23" x14ac:dyDescent="0.25">
      <c r="H342" s="33"/>
      <c r="I342" s="33"/>
      <c r="J342" s="33"/>
      <c r="K342"/>
      <c r="Q342" s="26"/>
      <c r="V342" s="5"/>
      <c r="W342" s="17"/>
    </row>
    <row r="343" spans="8:23" x14ac:dyDescent="0.25">
      <c r="Q343" s="5"/>
      <c r="V343" s="5"/>
      <c r="W343" s="17"/>
    </row>
    <row r="344" spans="8:23" x14ac:dyDescent="0.25">
      <c r="K344" s="42"/>
      <c r="Q344" s="26"/>
      <c r="V344" s="5"/>
      <c r="W344" s="17"/>
    </row>
    <row r="345" spans="8:23" x14ac:dyDescent="0.25">
      <c r="K345" s="42"/>
      <c r="Q345" s="26"/>
      <c r="V345" s="5"/>
      <c r="W345" s="17"/>
    </row>
    <row r="346" spans="8:23" x14ac:dyDescent="0.25">
      <c r="K346" s="42"/>
      <c r="Q346" s="26"/>
      <c r="V346" s="5"/>
      <c r="W346" s="17"/>
    </row>
    <row r="347" spans="8:23" x14ac:dyDescent="0.25">
      <c r="K347" s="42"/>
      <c r="Q347" s="26"/>
      <c r="V347" s="5"/>
      <c r="W347" s="17"/>
    </row>
    <row r="348" spans="8:23" x14ac:dyDescent="0.25">
      <c r="K348" s="42"/>
      <c r="Q348" s="26"/>
      <c r="V348" s="5"/>
      <c r="W348" s="17"/>
    </row>
    <row r="349" spans="8:23" x14ac:dyDescent="0.25">
      <c r="K349" s="42"/>
      <c r="Q349" s="26"/>
      <c r="V349" s="5"/>
      <c r="W349" s="17"/>
    </row>
    <row r="350" spans="8:23" x14ac:dyDescent="0.25">
      <c r="K350" s="42"/>
      <c r="Q350" s="26"/>
      <c r="R350" s="14"/>
      <c r="V350" s="5"/>
      <c r="W350" s="17"/>
    </row>
    <row r="351" spans="8:23" x14ac:dyDescent="0.25">
      <c r="K351" s="42"/>
      <c r="Q351" s="26"/>
      <c r="V351" s="5"/>
      <c r="W351" s="17"/>
    </row>
    <row r="352" spans="8:23" x14ac:dyDescent="0.25">
      <c r="K352" s="42"/>
      <c r="Q352" s="26"/>
      <c r="V352" s="5"/>
      <c r="W352" s="17"/>
    </row>
    <row r="353" spans="11:23" x14ac:dyDescent="0.25">
      <c r="K353" s="42"/>
      <c r="Q353" s="26"/>
      <c r="V353" s="5"/>
      <c r="W353" s="17"/>
    </row>
    <row r="354" spans="11:23" x14ac:dyDescent="0.25">
      <c r="K354" s="42"/>
      <c r="Q354" s="26"/>
      <c r="V354" s="5"/>
      <c r="W354" s="17"/>
    </row>
    <row r="355" spans="11:23" x14ac:dyDescent="0.25">
      <c r="K355" s="42"/>
      <c r="Q355" s="26"/>
      <c r="V355" s="5"/>
      <c r="W355" s="17"/>
    </row>
    <row r="356" spans="11:23" x14ac:dyDescent="0.25">
      <c r="K356" s="42"/>
      <c r="Q356" s="26"/>
      <c r="V356" s="5"/>
      <c r="W356" s="17"/>
    </row>
    <row r="357" spans="11:23" x14ac:dyDescent="0.25">
      <c r="K357" s="42"/>
      <c r="Q357" s="26"/>
      <c r="V357" s="5"/>
      <c r="W357" s="17"/>
    </row>
    <row r="358" spans="11:23" x14ac:dyDescent="0.25">
      <c r="K358" s="42"/>
      <c r="Q358" s="26"/>
      <c r="V358" s="5"/>
      <c r="W358" s="17"/>
    </row>
    <row r="359" spans="11:23" x14ac:dyDescent="0.25">
      <c r="K359" s="42"/>
      <c r="Q359" s="26"/>
      <c r="V359" s="5"/>
      <c r="W359" s="17"/>
    </row>
    <row r="360" spans="11:23" x14ac:dyDescent="0.25">
      <c r="K360" s="42"/>
      <c r="Q360" s="26"/>
      <c r="V360" s="5"/>
      <c r="W360" s="17"/>
    </row>
    <row r="361" spans="11:23" x14ac:dyDescent="0.25">
      <c r="K361" s="42"/>
      <c r="Q361" s="26"/>
      <c r="V361" s="5"/>
      <c r="W361" s="17"/>
    </row>
    <row r="362" spans="11:23" x14ac:dyDescent="0.25">
      <c r="K362" s="42"/>
      <c r="Q362" s="26"/>
      <c r="V362" s="5"/>
      <c r="W362" s="17"/>
    </row>
    <row r="363" spans="11:23" x14ac:dyDescent="0.25">
      <c r="K363" s="42"/>
      <c r="Q363" s="26"/>
      <c r="V363" s="5"/>
      <c r="W363" s="17"/>
    </row>
    <row r="364" spans="11:23" x14ac:dyDescent="0.25">
      <c r="K364" s="42"/>
      <c r="Q364" s="26"/>
      <c r="V364" s="5"/>
      <c r="W364" s="17"/>
    </row>
    <row r="365" spans="11:23" x14ac:dyDescent="0.25">
      <c r="K365"/>
      <c r="Q365" s="26"/>
      <c r="V365" s="5"/>
      <c r="W365" s="17"/>
    </row>
    <row r="366" spans="11:23" x14ac:dyDescent="0.25">
      <c r="K366" s="42"/>
      <c r="Q366" s="26"/>
      <c r="V366" s="5"/>
      <c r="W366" s="17"/>
    </row>
    <row r="367" spans="11:23" x14ac:dyDescent="0.25">
      <c r="K367" s="42"/>
      <c r="Q367" s="26"/>
      <c r="V367" s="5"/>
      <c r="W367" s="17"/>
    </row>
    <row r="368" spans="11:23" x14ac:dyDescent="0.25">
      <c r="K368" s="42"/>
      <c r="Q368" s="26"/>
      <c r="V368" s="5"/>
      <c r="W368" s="17"/>
    </row>
    <row r="369" spans="11:23" x14ac:dyDescent="0.25">
      <c r="Q369" s="5"/>
      <c r="V369" s="5"/>
      <c r="W369" s="17"/>
    </row>
    <row r="370" spans="11:23" x14ac:dyDescent="0.25">
      <c r="K370" s="42"/>
      <c r="Q370" s="26"/>
      <c r="V370" s="5"/>
      <c r="W370" s="17"/>
    </row>
    <row r="371" spans="11:23" x14ac:dyDescent="0.25">
      <c r="K371" s="42"/>
      <c r="Q371" s="26"/>
      <c r="V371" s="5"/>
      <c r="W371" s="17"/>
    </row>
    <row r="372" spans="11:23" x14ac:dyDescent="0.25">
      <c r="K372" s="42"/>
      <c r="Q372" s="26"/>
      <c r="V372" s="5"/>
      <c r="W372" s="17"/>
    </row>
    <row r="373" spans="11:23" x14ac:dyDescent="0.25">
      <c r="K373" s="42"/>
      <c r="Q373" s="26"/>
      <c r="V373" s="5"/>
      <c r="W373" s="17"/>
    </row>
    <row r="374" spans="11:23" x14ac:dyDescent="0.25">
      <c r="K374" s="42"/>
      <c r="Q374" s="26"/>
      <c r="V374" s="5"/>
      <c r="W374" s="17"/>
    </row>
    <row r="375" spans="11:23" x14ac:dyDescent="0.25">
      <c r="K375" s="42"/>
      <c r="Q375" s="26"/>
      <c r="V375" s="5"/>
      <c r="W375" s="17"/>
    </row>
    <row r="376" spans="11:23" x14ac:dyDescent="0.25">
      <c r="K376" s="42"/>
      <c r="Q376" s="26"/>
      <c r="R376" s="14"/>
      <c r="V376" s="5"/>
      <c r="W376" s="17"/>
    </row>
    <row r="377" spans="11:23" x14ac:dyDescent="0.25">
      <c r="K377" s="42"/>
      <c r="Q377" s="26"/>
      <c r="V377" s="5"/>
      <c r="W377" s="17"/>
    </row>
    <row r="378" spans="11:23" x14ac:dyDescent="0.25">
      <c r="K378" s="42"/>
      <c r="Q378" s="26"/>
      <c r="V378" s="5"/>
      <c r="W378" s="17"/>
    </row>
    <row r="379" spans="11:23" x14ac:dyDescent="0.25">
      <c r="K379" s="42"/>
      <c r="Q379" s="26"/>
      <c r="V379" s="5"/>
      <c r="W379" s="17"/>
    </row>
    <row r="380" spans="11:23" x14ac:dyDescent="0.25">
      <c r="K380" s="42"/>
      <c r="Q380" s="26"/>
      <c r="V380" s="5"/>
      <c r="W380" s="17"/>
    </row>
    <row r="381" spans="11:23" x14ac:dyDescent="0.25">
      <c r="K381" s="42"/>
      <c r="Q381" s="26"/>
      <c r="V381" s="5"/>
      <c r="W381" s="17"/>
    </row>
    <row r="382" spans="11:23" x14ac:dyDescent="0.25">
      <c r="K382" s="42"/>
      <c r="Q382" s="26"/>
      <c r="V382" s="5"/>
      <c r="W382" s="17"/>
    </row>
    <row r="383" spans="11:23" x14ac:dyDescent="0.25">
      <c r="K383" s="42"/>
      <c r="Q383" s="26"/>
      <c r="V383" s="5"/>
      <c r="W383" s="17"/>
    </row>
    <row r="384" spans="11:23" x14ac:dyDescent="0.25">
      <c r="K384" s="42"/>
      <c r="Q384" s="26"/>
      <c r="V384" s="5"/>
      <c r="W384" s="17"/>
    </row>
    <row r="385" spans="11:23" x14ac:dyDescent="0.25">
      <c r="K385" s="42"/>
      <c r="Q385" s="26"/>
      <c r="V385" s="5"/>
      <c r="W385" s="17"/>
    </row>
    <row r="386" spans="11:23" x14ac:dyDescent="0.25">
      <c r="K386" s="42"/>
      <c r="Q386" s="26"/>
      <c r="V386" s="5"/>
      <c r="W386" s="17"/>
    </row>
    <row r="387" spans="11:23" x14ac:dyDescent="0.25">
      <c r="K387" s="42"/>
      <c r="Q387" s="26"/>
      <c r="V387" s="5"/>
      <c r="W387" s="17"/>
    </row>
    <row r="388" spans="11:23" x14ac:dyDescent="0.25">
      <c r="K388" s="42"/>
      <c r="Q388" s="26"/>
      <c r="V388" s="5"/>
      <c r="W388" s="17"/>
    </row>
    <row r="389" spans="11:23" x14ac:dyDescent="0.25">
      <c r="K389" s="42"/>
      <c r="Q389" s="26"/>
      <c r="V389" s="5"/>
      <c r="W389" s="17"/>
    </row>
    <row r="390" spans="11:23" x14ac:dyDescent="0.25">
      <c r="K390" s="42"/>
      <c r="Q390" s="26"/>
      <c r="V390" s="5"/>
      <c r="W390" s="17"/>
    </row>
    <row r="391" spans="11:23" x14ac:dyDescent="0.25">
      <c r="K391" s="42"/>
      <c r="Q391" s="26"/>
      <c r="V391" s="5"/>
      <c r="W391" s="17"/>
    </row>
    <row r="392" spans="11:23" x14ac:dyDescent="0.25">
      <c r="K392" s="42"/>
      <c r="Q392" s="26"/>
      <c r="V392" s="5"/>
      <c r="W392" s="17"/>
    </row>
    <row r="393" spans="11:23" x14ac:dyDescent="0.25">
      <c r="K393" s="42"/>
      <c r="Q393" s="26"/>
      <c r="V393" s="5"/>
      <c r="W393" s="17"/>
    </row>
    <row r="394" spans="11:23" x14ac:dyDescent="0.25">
      <c r="K394" s="42"/>
      <c r="Q394" s="26"/>
      <c r="V394" s="5"/>
      <c r="W394" s="17"/>
    </row>
    <row r="395" spans="11:23" x14ac:dyDescent="0.25">
      <c r="K395" s="42"/>
      <c r="Q395" s="26"/>
      <c r="V395" s="5"/>
      <c r="W395" s="17"/>
    </row>
    <row r="396" spans="11:23" x14ac:dyDescent="0.25">
      <c r="K396" s="42"/>
      <c r="Q396" s="26"/>
      <c r="V396" s="5"/>
      <c r="W396" s="17"/>
    </row>
    <row r="397" spans="11:23" x14ac:dyDescent="0.25">
      <c r="K397" s="42"/>
      <c r="Q397" s="26"/>
      <c r="V397" s="5"/>
      <c r="W397" s="17"/>
    </row>
    <row r="398" spans="11:23" x14ac:dyDescent="0.25">
      <c r="K398" s="42"/>
      <c r="Q398" s="26"/>
      <c r="V398" s="5"/>
      <c r="W398" s="17"/>
    </row>
    <row r="399" spans="11:23" x14ac:dyDescent="0.25">
      <c r="K399" s="42"/>
      <c r="Q399" s="26"/>
      <c r="V399" s="5"/>
      <c r="W399" s="17"/>
    </row>
    <row r="400" spans="11:23" x14ac:dyDescent="0.25">
      <c r="Q400" s="5"/>
      <c r="V400" s="5"/>
      <c r="W400" s="17"/>
    </row>
    <row r="401" spans="17:23" x14ac:dyDescent="0.25">
      <c r="Q401" s="5"/>
      <c r="V401" s="5"/>
      <c r="W401" s="17"/>
    </row>
    <row r="402" spans="17:23" x14ac:dyDescent="0.25">
      <c r="Q402" s="5"/>
      <c r="V402" s="5"/>
      <c r="W402" s="17"/>
    </row>
    <row r="403" spans="17:23" x14ac:dyDescent="0.25">
      <c r="Q403" s="5"/>
      <c r="V403" s="5"/>
      <c r="W403" s="17"/>
    </row>
    <row r="404" spans="17:23" x14ac:dyDescent="0.25">
      <c r="Q404" s="5"/>
      <c r="V404" s="5"/>
      <c r="W404" s="17"/>
    </row>
    <row r="405" spans="17:23" x14ac:dyDescent="0.25">
      <c r="Q405" s="5"/>
      <c r="R405" s="14"/>
      <c r="V405" s="5"/>
      <c r="W405" s="17"/>
    </row>
    <row r="406" spans="17:23" x14ac:dyDescent="0.25">
      <c r="Q406" s="5"/>
      <c r="V406" s="5"/>
      <c r="W406" s="17"/>
    </row>
    <row r="407" spans="17:23" x14ac:dyDescent="0.25">
      <c r="Q407" s="5"/>
      <c r="V407" s="5"/>
      <c r="W407" s="17"/>
    </row>
    <row r="408" spans="17:23" x14ac:dyDescent="0.25">
      <c r="Q408" s="5"/>
      <c r="V408" s="5"/>
      <c r="W408" s="17"/>
    </row>
    <row r="409" spans="17:23" x14ac:dyDescent="0.25">
      <c r="Q409" s="5"/>
      <c r="V409" s="5"/>
      <c r="W409" s="17"/>
    </row>
    <row r="410" spans="17:23" x14ac:dyDescent="0.25">
      <c r="Q410" s="5"/>
      <c r="V410" s="5"/>
      <c r="W410" s="17"/>
    </row>
    <row r="411" spans="17:23" x14ac:dyDescent="0.25">
      <c r="Q411" s="5"/>
      <c r="V411" s="5"/>
      <c r="W411" s="17"/>
    </row>
    <row r="412" spans="17:23" x14ac:dyDescent="0.25">
      <c r="Q412" s="5"/>
      <c r="V412" s="5"/>
      <c r="W412" s="17"/>
    </row>
    <row r="413" spans="17:23" x14ac:dyDescent="0.25">
      <c r="Q413" s="5"/>
      <c r="V413" s="5"/>
      <c r="W413" s="17"/>
    </row>
    <row r="414" spans="17:23" x14ac:dyDescent="0.25">
      <c r="Q414" s="5"/>
      <c r="V414" s="5"/>
      <c r="W414" s="17"/>
    </row>
    <row r="415" spans="17:23" x14ac:dyDescent="0.25">
      <c r="Q415" s="5"/>
      <c r="V415" s="5"/>
      <c r="W415" s="17"/>
    </row>
    <row r="416" spans="17:23" x14ac:dyDescent="0.25">
      <c r="Q416" s="5"/>
      <c r="V416" s="5"/>
      <c r="W416" s="17"/>
    </row>
    <row r="417" spans="17:23" x14ac:dyDescent="0.25">
      <c r="Q417" s="5"/>
      <c r="V417" s="5"/>
      <c r="W417" s="17"/>
    </row>
    <row r="418" spans="17:23" x14ac:dyDescent="0.25">
      <c r="Q418" s="5"/>
      <c r="V418" s="5"/>
      <c r="W418" s="17"/>
    </row>
    <row r="419" spans="17:23" x14ac:dyDescent="0.25">
      <c r="Q419" s="5"/>
      <c r="V419" s="5"/>
      <c r="W419" s="17"/>
    </row>
    <row r="420" spans="17:23" x14ac:dyDescent="0.25">
      <c r="Q420" s="5"/>
      <c r="V420" s="5"/>
      <c r="W420" s="17"/>
    </row>
    <row r="421" spans="17:23" x14ac:dyDescent="0.25">
      <c r="Q421" s="5"/>
      <c r="V421" s="5"/>
      <c r="W421" s="17"/>
    </row>
    <row r="422" spans="17:23" x14ac:dyDescent="0.25">
      <c r="Q422" s="5"/>
      <c r="V422" s="5"/>
      <c r="W422" s="17"/>
    </row>
    <row r="423" spans="17:23" x14ac:dyDescent="0.25">
      <c r="Q423" s="5"/>
      <c r="V423" s="5"/>
      <c r="W423" s="17"/>
    </row>
    <row r="424" spans="17:23" x14ac:dyDescent="0.25">
      <c r="Q424" s="5"/>
      <c r="V424" s="5"/>
      <c r="W424" s="17"/>
    </row>
    <row r="425" spans="17:23" x14ac:dyDescent="0.25">
      <c r="Q425" s="5"/>
      <c r="V425" s="5"/>
      <c r="W425" s="17"/>
    </row>
    <row r="426" spans="17:23" x14ac:dyDescent="0.25">
      <c r="Q426" s="5"/>
      <c r="V426" s="5"/>
      <c r="W426" s="17"/>
    </row>
    <row r="427" spans="17:23" x14ac:dyDescent="0.25">
      <c r="Q427" s="5"/>
      <c r="V427" s="5"/>
      <c r="W427" s="17"/>
    </row>
    <row r="428" spans="17:23" x14ac:dyDescent="0.25">
      <c r="Q428" s="5"/>
      <c r="V428" s="5"/>
      <c r="W428" s="17"/>
    </row>
    <row r="429" spans="17:23" x14ac:dyDescent="0.25">
      <c r="Q429" s="5"/>
      <c r="V429" s="5"/>
      <c r="W429" s="17"/>
    </row>
    <row r="430" spans="17:23" x14ac:dyDescent="0.25">
      <c r="Q430" s="5"/>
      <c r="V430" s="5"/>
      <c r="W430" s="17"/>
    </row>
    <row r="431" spans="17:23" x14ac:dyDescent="0.25">
      <c r="Q431" s="5"/>
      <c r="V431" s="5"/>
      <c r="W431" s="17"/>
    </row>
    <row r="432" spans="17:23" x14ac:dyDescent="0.25">
      <c r="Q432" s="5"/>
      <c r="V432" s="5"/>
      <c r="W432" s="17"/>
    </row>
    <row r="433" spans="17:23" x14ac:dyDescent="0.25">
      <c r="Q433" s="5"/>
      <c r="V433" s="5"/>
      <c r="W433" s="17"/>
    </row>
    <row r="434" spans="17:23" x14ac:dyDescent="0.25">
      <c r="Q434" s="5"/>
      <c r="V434" s="5"/>
      <c r="W434" s="17"/>
    </row>
    <row r="435" spans="17:23" x14ac:dyDescent="0.25">
      <c r="Q435" s="5"/>
      <c r="V435" s="5"/>
      <c r="W435" s="17"/>
    </row>
    <row r="436" spans="17:23" x14ac:dyDescent="0.25">
      <c r="Q436" s="5"/>
      <c r="V436" s="5"/>
      <c r="W436" s="17"/>
    </row>
    <row r="437" spans="17:23" x14ac:dyDescent="0.25">
      <c r="Q437" s="5"/>
      <c r="V437" s="5"/>
      <c r="W437" s="17"/>
    </row>
    <row r="438" spans="17:23" x14ac:dyDescent="0.25">
      <c r="Q438" s="5"/>
      <c r="V438" s="5"/>
      <c r="W438" s="17"/>
    </row>
    <row r="439" spans="17:23" x14ac:dyDescent="0.25">
      <c r="Q439" s="5"/>
      <c r="V439" s="5"/>
      <c r="W439" s="17"/>
    </row>
    <row r="440" spans="17:23" x14ac:dyDescent="0.25">
      <c r="Q440" s="5"/>
      <c r="V440" s="5"/>
      <c r="W440" s="17"/>
    </row>
    <row r="441" spans="17:23" x14ac:dyDescent="0.25">
      <c r="Q441" s="5"/>
      <c r="V441" s="5"/>
      <c r="W441" s="17"/>
    </row>
    <row r="442" spans="17:23" x14ac:dyDescent="0.25">
      <c r="Q442" s="5"/>
      <c r="V442" s="5"/>
      <c r="W442" s="17"/>
    </row>
    <row r="443" spans="17:23" x14ac:dyDescent="0.25">
      <c r="Q443" s="5"/>
      <c r="V443" s="5"/>
      <c r="W443" s="17"/>
    </row>
    <row r="444" spans="17:23" x14ac:dyDescent="0.25">
      <c r="Q444" s="5"/>
      <c r="V444" s="5"/>
      <c r="W444" s="17"/>
    </row>
    <row r="445" spans="17:23" x14ac:dyDescent="0.25">
      <c r="Q445" s="5"/>
      <c r="V445" s="5"/>
      <c r="W445" s="17"/>
    </row>
    <row r="446" spans="17:23" x14ac:dyDescent="0.25">
      <c r="Q446" s="5"/>
      <c r="V446" s="5"/>
      <c r="W446" s="17"/>
    </row>
    <row r="447" spans="17:23" x14ac:dyDescent="0.25">
      <c r="Q447" s="5"/>
      <c r="V447" s="5"/>
      <c r="W447" s="17"/>
    </row>
    <row r="448" spans="17:23" x14ac:dyDescent="0.25">
      <c r="Q448" s="5"/>
      <c r="V448" s="5"/>
      <c r="W448" s="17"/>
    </row>
    <row r="449" spans="17:23" x14ac:dyDescent="0.25">
      <c r="Q449" s="5"/>
      <c r="V449" s="5"/>
      <c r="W449" s="17"/>
    </row>
    <row r="450" spans="17:23" x14ac:dyDescent="0.25">
      <c r="Q450" s="5"/>
      <c r="V450" s="5"/>
      <c r="W450" s="17"/>
    </row>
    <row r="451" spans="17:23" x14ac:dyDescent="0.25">
      <c r="Q451" s="5"/>
      <c r="V451" s="5"/>
      <c r="W451" s="17"/>
    </row>
    <row r="452" spans="17:23" x14ac:dyDescent="0.25">
      <c r="Q452" s="5"/>
      <c r="V452" s="5"/>
      <c r="W452" s="17"/>
    </row>
    <row r="453" spans="17:23" x14ac:dyDescent="0.25">
      <c r="Q453" s="5"/>
      <c r="V453" s="5"/>
      <c r="W453" s="17"/>
    </row>
    <row r="454" spans="17:23" x14ac:dyDescent="0.25">
      <c r="Q454" s="5"/>
      <c r="V454" s="5"/>
      <c r="W454" s="17"/>
    </row>
    <row r="455" spans="17:23" x14ac:dyDescent="0.25">
      <c r="Q455" s="5"/>
      <c r="V455" s="5"/>
      <c r="W455" s="17"/>
    </row>
    <row r="456" spans="17:23" x14ac:dyDescent="0.25">
      <c r="Q456" s="5"/>
      <c r="V456" s="5"/>
      <c r="W456" s="17"/>
    </row>
    <row r="457" spans="17:23" x14ac:dyDescent="0.25">
      <c r="Q457" s="5"/>
      <c r="V457" s="5"/>
      <c r="W457" s="17"/>
    </row>
    <row r="458" spans="17:23" x14ac:dyDescent="0.25">
      <c r="Q458" s="5"/>
      <c r="V458" s="5"/>
      <c r="W458" s="17"/>
    </row>
    <row r="459" spans="17:23" x14ac:dyDescent="0.25">
      <c r="Q459" s="5"/>
      <c r="V459" s="5"/>
      <c r="W459" s="17"/>
    </row>
    <row r="460" spans="17:23" x14ac:dyDescent="0.25">
      <c r="Q460" s="5"/>
      <c r="V460" s="5"/>
      <c r="W460" s="17"/>
    </row>
    <row r="461" spans="17:23" x14ac:dyDescent="0.25">
      <c r="Q461" s="5"/>
      <c r="V461" s="5"/>
      <c r="W461" s="17"/>
    </row>
    <row r="462" spans="17:23" x14ac:dyDescent="0.25">
      <c r="Q462" s="5"/>
      <c r="V462" s="5"/>
      <c r="W462" s="17"/>
    </row>
    <row r="463" spans="17:23" x14ac:dyDescent="0.25">
      <c r="Q463" s="5"/>
      <c r="V463" s="5"/>
      <c r="W463" s="17"/>
    </row>
    <row r="464" spans="17:23" x14ac:dyDescent="0.25">
      <c r="Q464" s="5"/>
      <c r="V464" s="5"/>
      <c r="W464" s="17"/>
    </row>
    <row r="465" spans="17:23" x14ac:dyDescent="0.25">
      <c r="Q465" s="5"/>
      <c r="V465" s="5"/>
      <c r="W465" s="17"/>
    </row>
    <row r="466" spans="17:23" x14ac:dyDescent="0.25">
      <c r="Q466" s="5"/>
      <c r="V466" s="5"/>
      <c r="W466" s="17"/>
    </row>
    <row r="467" spans="17:23" x14ac:dyDescent="0.25">
      <c r="Q467" s="5"/>
      <c r="V467" s="5"/>
      <c r="W467" s="17"/>
    </row>
    <row r="468" spans="17:23" x14ac:dyDescent="0.25">
      <c r="Q468" s="5"/>
      <c r="V468" s="5"/>
      <c r="W468" s="17"/>
    </row>
    <row r="469" spans="17:23" x14ac:dyDescent="0.25">
      <c r="Q469" s="5"/>
      <c r="V469" s="5"/>
      <c r="W469" s="17"/>
    </row>
    <row r="470" spans="17:23" x14ac:dyDescent="0.25">
      <c r="Q470" s="5"/>
      <c r="V470" s="5"/>
      <c r="W470" s="17"/>
    </row>
    <row r="471" spans="17:23" x14ac:dyDescent="0.25">
      <c r="Q471" s="5"/>
      <c r="V471" s="5"/>
      <c r="W471" s="17"/>
    </row>
    <row r="472" spans="17:23" x14ac:dyDescent="0.25">
      <c r="Q472" s="5"/>
      <c r="V472" s="5"/>
      <c r="W472" s="17"/>
    </row>
    <row r="473" spans="17:23" x14ac:dyDescent="0.25">
      <c r="Q473" s="5"/>
      <c r="V473" s="5"/>
      <c r="W473" s="17"/>
    </row>
    <row r="474" spans="17:23" x14ac:dyDescent="0.25">
      <c r="Q474" s="5"/>
      <c r="V474" s="5"/>
      <c r="W474" s="17"/>
    </row>
    <row r="475" spans="17:23" x14ac:dyDescent="0.25">
      <c r="Q475" s="5"/>
      <c r="V475" s="5"/>
      <c r="W475" s="17"/>
    </row>
    <row r="476" spans="17:23" x14ac:dyDescent="0.25">
      <c r="Q476" s="5"/>
      <c r="V476" s="5"/>
      <c r="W476" s="17"/>
    </row>
    <row r="477" spans="17:23" x14ac:dyDescent="0.25">
      <c r="Q477" s="5"/>
      <c r="V477" s="5"/>
      <c r="W477" s="17"/>
    </row>
    <row r="478" spans="17:23" x14ac:dyDescent="0.25">
      <c r="Q478" s="5"/>
      <c r="V478" s="5"/>
      <c r="W478" s="17"/>
    </row>
    <row r="479" spans="17:23" x14ac:dyDescent="0.25">
      <c r="Q479" s="5"/>
      <c r="V479" s="5"/>
      <c r="W479" s="17"/>
    </row>
    <row r="480" spans="17:23" x14ac:dyDescent="0.25">
      <c r="Q480" s="5"/>
      <c r="V480" s="5"/>
      <c r="W480" s="17"/>
    </row>
    <row r="481" spans="22:23" x14ac:dyDescent="0.25">
      <c r="V481" s="5"/>
      <c r="W481" s="17"/>
    </row>
    <row r="482" spans="22:23" x14ac:dyDescent="0.25">
      <c r="V482" s="5"/>
      <c r="W482" s="17"/>
    </row>
    <row r="483" spans="22:23" x14ac:dyDescent="0.25">
      <c r="V483" s="5"/>
      <c r="W483" s="17"/>
    </row>
    <row r="484" spans="22:23" x14ac:dyDescent="0.25">
      <c r="V484" s="5"/>
      <c r="W484" s="17"/>
    </row>
    <row r="485" spans="22:23" x14ac:dyDescent="0.25">
      <c r="V485" s="5"/>
      <c r="W485" s="17"/>
    </row>
    <row r="486" spans="22:23" x14ac:dyDescent="0.25">
      <c r="V486" s="5"/>
      <c r="W486" s="17"/>
    </row>
    <row r="487" spans="22:23" x14ac:dyDescent="0.25">
      <c r="V487" s="5"/>
      <c r="W487" s="17"/>
    </row>
    <row r="488" spans="22:23" x14ac:dyDescent="0.25">
      <c r="V488" s="5"/>
      <c r="W488" s="17"/>
    </row>
    <row r="489" spans="22:23" x14ac:dyDescent="0.25">
      <c r="V489" s="5"/>
      <c r="W489" s="17"/>
    </row>
    <row r="490" spans="22:23" x14ac:dyDescent="0.25">
      <c r="V490" s="5"/>
      <c r="W490" s="17"/>
    </row>
    <row r="491" spans="22:23" x14ac:dyDescent="0.25">
      <c r="V491" s="5"/>
      <c r="W491" s="17"/>
    </row>
    <row r="492" spans="22:23" x14ac:dyDescent="0.25">
      <c r="V492" s="5"/>
      <c r="W492" s="17"/>
    </row>
    <row r="493" spans="22:23" x14ac:dyDescent="0.25">
      <c r="V493" s="5"/>
      <c r="W493" s="17"/>
    </row>
    <row r="494" spans="22:23" x14ac:dyDescent="0.25">
      <c r="V494" s="5"/>
      <c r="W494" s="17"/>
    </row>
    <row r="495" spans="22:23" x14ac:dyDescent="0.25">
      <c r="V495" s="5"/>
      <c r="W495" s="17"/>
    </row>
    <row r="496" spans="22:23" x14ac:dyDescent="0.25">
      <c r="V496" s="5"/>
      <c r="W496" s="17"/>
    </row>
    <row r="497" spans="22:23" x14ac:dyDescent="0.25">
      <c r="V497" s="5"/>
      <c r="W497" s="17"/>
    </row>
    <row r="498" spans="22:23" x14ac:dyDescent="0.25">
      <c r="V498" s="5"/>
      <c r="W498" s="17"/>
    </row>
    <row r="499" spans="22:23" x14ac:dyDescent="0.25">
      <c r="V499" s="5"/>
      <c r="W499" s="17"/>
    </row>
    <row r="500" spans="22:23" x14ac:dyDescent="0.25">
      <c r="V500" s="5"/>
      <c r="W500" s="17"/>
    </row>
    <row r="501" spans="22:23" x14ac:dyDescent="0.25">
      <c r="V501" s="5"/>
      <c r="W501" s="17"/>
    </row>
    <row r="502" spans="22:23" x14ac:dyDescent="0.25">
      <c r="V502" s="5"/>
      <c r="W502" s="17"/>
    </row>
    <row r="503" spans="22:23" x14ac:dyDescent="0.25">
      <c r="V503" s="5"/>
      <c r="W503" s="17"/>
    </row>
    <row r="504" spans="22:23" x14ac:dyDescent="0.25">
      <c r="V504" s="5"/>
      <c r="W504" s="17"/>
    </row>
    <row r="505" spans="22:23" x14ac:dyDescent="0.25">
      <c r="V505" s="5"/>
      <c r="W505" s="17"/>
    </row>
    <row r="506" spans="22:23" x14ac:dyDescent="0.25">
      <c r="V506" s="5"/>
      <c r="W506" s="17"/>
    </row>
    <row r="507" spans="22:23" x14ac:dyDescent="0.25">
      <c r="V507" s="5"/>
      <c r="W507" s="17"/>
    </row>
    <row r="508" spans="22:23" x14ac:dyDescent="0.25">
      <c r="V508" s="5"/>
      <c r="W508" s="17"/>
    </row>
    <row r="509" spans="22:23" x14ac:dyDescent="0.25">
      <c r="V509" s="5"/>
      <c r="W509" s="17"/>
    </row>
    <row r="510" spans="22:23" x14ac:dyDescent="0.25">
      <c r="V510" s="5"/>
      <c r="W510" s="17"/>
    </row>
    <row r="511" spans="22:23" x14ac:dyDescent="0.25">
      <c r="V511" s="5"/>
      <c r="W511" s="17"/>
    </row>
    <row r="512" spans="22:23" x14ac:dyDescent="0.25">
      <c r="V512" s="5"/>
      <c r="W512" s="17"/>
    </row>
    <row r="513" spans="22:23" x14ac:dyDescent="0.25">
      <c r="V513" s="5"/>
      <c r="W513" s="17"/>
    </row>
    <row r="514" spans="22:23" x14ac:dyDescent="0.25">
      <c r="V514" s="5"/>
      <c r="W514" s="17"/>
    </row>
    <row r="515" spans="22:23" x14ac:dyDescent="0.25">
      <c r="V515" s="5"/>
      <c r="W515" s="17"/>
    </row>
    <row r="516" spans="22:23" x14ac:dyDescent="0.25">
      <c r="V516" s="5"/>
      <c r="W516" s="17"/>
    </row>
    <row r="517" spans="22:23" x14ac:dyDescent="0.25">
      <c r="V517" s="5"/>
      <c r="W517" s="17"/>
    </row>
    <row r="518" spans="22:23" x14ac:dyDescent="0.25">
      <c r="V518" s="5"/>
      <c r="W518" s="17"/>
    </row>
    <row r="519" spans="22:23" x14ac:dyDescent="0.25">
      <c r="V519" s="5"/>
      <c r="W519" s="17"/>
    </row>
    <row r="520" spans="22:23" x14ac:dyDescent="0.25">
      <c r="V520" s="5"/>
      <c r="W520" s="17"/>
    </row>
    <row r="521" spans="22:23" x14ac:dyDescent="0.25">
      <c r="V521" s="5"/>
      <c r="W521" s="17"/>
    </row>
    <row r="522" spans="22:23" x14ac:dyDescent="0.25">
      <c r="V522" s="5"/>
      <c r="W522" s="17"/>
    </row>
    <row r="523" spans="22:23" x14ac:dyDescent="0.25">
      <c r="V523" s="5"/>
      <c r="W523" s="17"/>
    </row>
    <row r="524" spans="22:23" x14ac:dyDescent="0.25">
      <c r="V524" s="5"/>
      <c r="W524" s="17"/>
    </row>
    <row r="525" spans="22:23" x14ac:dyDescent="0.25">
      <c r="V525" s="5"/>
      <c r="W525" s="17"/>
    </row>
    <row r="526" spans="22:23" x14ac:dyDescent="0.25">
      <c r="V526" s="5"/>
      <c r="W526" s="17"/>
    </row>
    <row r="527" spans="22:23" x14ac:dyDescent="0.25">
      <c r="V527" s="5"/>
      <c r="W527" s="17"/>
    </row>
    <row r="528" spans="22:23" x14ac:dyDescent="0.25">
      <c r="V528" s="5"/>
      <c r="W528" s="17"/>
    </row>
    <row r="529" spans="22:23" x14ac:dyDescent="0.25">
      <c r="V529" s="5"/>
      <c r="W529" s="17"/>
    </row>
    <row r="530" spans="22:23" x14ac:dyDescent="0.25">
      <c r="V530" s="5"/>
      <c r="W530" s="17"/>
    </row>
    <row r="531" spans="22:23" x14ac:dyDescent="0.25">
      <c r="V531" s="5"/>
      <c r="W531" s="17"/>
    </row>
    <row r="532" spans="22:23" x14ac:dyDescent="0.25">
      <c r="V532" s="5"/>
      <c r="W532" s="17"/>
    </row>
    <row r="533" spans="22:23" x14ac:dyDescent="0.25">
      <c r="V533" s="5"/>
      <c r="W533" s="17"/>
    </row>
    <row r="534" spans="22:23" x14ac:dyDescent="0.25">
      <c r="V534" s="5"/>
      <c r="W534" s="17"/>
    </row>
    <row r="535" spans="22:23" x14ac:dyDescent="0.25">
      <c r="V535" s="5"/>
      <c r="W535" s="17"/>
    </row>
    <row r="536" spans="22:23" x14ac:dyDescent="0.25">
      <c r="V536" s="5"/>
      <c r="W536" s="17"/>
    </row>
    <row r="537" spans="22:23" x14ac:dyDescent="0.25">
      <c r="V537" s="5"/>
      <c r="W537" s="17"/>
    </row>
    <row r="538" spans="22:23" x14ac:dyDescent="0.25">
      <c r="V538" s="5"/>
      <c r="W538" s="17"/>
    </row>
    <row r="539" spans="22:23" x14ac:dyDescent="0.25">
      <c r="V539" s="5"/>
      <c r="W539" s="17"/>
    </row>
    <row r="540" spans="22:23" x14ac:dyDescent="0.25">
      <c r="V540" s="5"/>
      <c r="W540" s="17"/>
    </row>
    <row r="541" spans="22:23" x14ac:dyDescent="0.25">
      <c r="V541" s="5"/>
      <c r="W541" s="17"/>
    </row>
    <row r="542" spans="22:23" x14ac:dyDescent="0.25">
      <c r="V542" s="5"/>
      <c r="W542" s="17"/>
    </row>
    <row r="543" spans="22:23" x14ac:dyDescent="0.25">
      <c r="V543" s="5"/>
      <c r="W543" s="17"/>
    </row>
    <row r="544" spans="22:23" x14ac:dyDescent="0.25">
      <c r="V544" s="5"/>
      <c r="W544" s="17"/>
    </row>
    <row r="545" spans="22:23" x14ac:dyDescent="0.25">
      <c r="V545" s="5"/>
      <c r="W545" s="17"/>
    </row>
    <row r="546" spans="22:23" x14ac:dyDescent="0.25">
      <c r="V546" s="5"/>
      <c r="W546" s="17"/>
    </row>
    <row r="547" spans="22:23" x14ac:dyDescent="0.25">
      <c r="V547" s="5"/>
      <c r="W547" s="17"/>
    </row>
    <row r="548" spans="22:23" x14ac:dyDescent="0.25">
      <c r="V548" s="5"/>
      <c r="W548" s="17"/>
    </row>
    <row r="549" spans="22:23" x14ac:dyDescent="0.25">
      <c r="V549" s="5"/>
      <c r="W549" s="17"/>
    </row>
    <row r="550" spans="22:23" x14ac:dyDescent="0.25">
      <c r="V550" s="5"/>
      <c r="W550" s="17"/>
    </row>
    <row r="551" spans="22:23" x14ac:dyDescent="0.25">
      <c r="V551" s="5"/>
      <c r="W551" s="17"/>
    </row>
    <row r="552" spans="22:23" x14ac:dyDescent="0.25">
      <c r="V552" s="5"/>
      <c r="W552" s="17"/>
    </row>
    <row r="553" spans="22:23" x14ac:dyDescent="0.25">
      <c r="V553" s="5"/>
      <c r="W553" s="17"/>
    </row>
    <row r="554" spans="22:23" x14ac:dyDescent="0.25">
      <c r="V554" s="5"/>
      <c r="W554" s="17"/>
    </row>
    <row r="555" spans="22:23" x14ac:dyDescent="0.25">
      <c r="V555" s="5"/>
      <c r="W555" s="17"/>
    </row>
    <row r="556" spans="22:23" x14ac:dyDescent="0.25">
      <c r="V556" s="5"/>
      <c r="W556" s="17"/>
    </row>
    <row r="557" spans="22:23" x14ac:dyDescent="0.25">
      <c r="V557" s="5"/>
      <c r="W557" s="17"/>
    </row>
    <row r="558" spans="22:23" x14ac:dyDescent="0.25">
      <c r="V558" s="5"/>
      <c r="W558" s="17"/>
    </row>
    <row r="559" spans="22:23" x14ac:dyDescent="0.25">
      <c r="V559" s="5"/>
      <c r="W559" s="17"/>
    </row>
    <row r="560" spans="22:23" x14ac:dyDescent="0.25">
      <c r="V560" s="5"/>
      <c r="W560" s="17"/>
    </row>
    <row r="561" spans="22:23" x14ac:dyDescent="0.25">
      <c r="V561" s="5"/>
      <c r="W561" s="17"/>
    </row>
    <row r="562" spans="22:23" x14ac:dyDescent="0.25">
      <c r="V562" s="5"/>
      <c r="W562" s="17"/>
    </row>
    <row r="563" spans="22:23" x14ac:dyDescent="0.25">
      <c r="V563" s="5"/>
      <c r="W563" s="17"/>
    </row>
    <row r="564" spans="22:23" x14ac:dyDescent="0.25">
      <c r="V564" s="5"/>
      <c r="W564" s="17"/>
    </row>
    <row r="565" spans="22:23" x14ac:dyDescent="0.25">
      <c r="V565" s="5"/>
      <c r="W565" s="17"/>
    </row>
    <row r="566" spans="22:23" x14ac:dyDescent="0.25">
      <c r="V566" s="5"/>
      <c r="W566" s="17"/>
    </row>
    <row r="567" spans="22:23" x14ac:dyDescent="0.25">
      <c r="V567" s="5"/>
      <c r="W567" s="17"/>
    </row>
    <row r="568" spans="22:23" x14ac:dyDescent="0.25">
      <c r="V568" s="5"/>
      <c r="W568" s="17"/>
    </row>
    <row r="569" spans="22:23" x14ac:dyDescent="0.25">
      <c r="V569" s="5"/>
      <c r="W569" s="17"/>
    </row>
    <row r="570" spans="22:23" x14ac:dyDescent="0.25">
      <c r="V570" s="5"/>
      <c r="W570" s="17"/>
    </row>
    <row r="571" spans="22:23" x14ac:dyDescent="0.25">
      <c r="V571" s="5"/>
      <c r="W571" s="17"/>
    </row>
    <row r="572" spans="22:23" x14ac:dyDescent="0.25">
      <c r="V572" s="5"/>
      <c r="W572" s="17"/>
    </row>
    <row r="573" spans="22:23" x14ac:dyDescent="0.25">
      <c r="V573" s="5"/>
      <c r="W573" s="17"/>
    </row>
    <row r="574" spans="22:23" x14ac:dyDescent="0.25">
      <c r="V574" s="5"/>
      <c r="W574" s="17"/>
    </row>
    <row r="575" spans="22:23" x14ac:dyDescent="0.25">
      <c r="V575" s="5"/>
      <c r="W575" s="17"/>
    </row>
    <row r="576" spans="22:23" x14ac:dyDescent="0.25">
      <c r="V576" s="5"/>
      <c r="W576" s="17"/>
    </row>
    <row r="577" spans="17:23" x14ac:dyDescent="0.25">
      <c r="V577" s="5"/>
      <c r="W577" s="17"/>
    </row>
    <row r="578" spans="17:23" x14ac:dyDescent="0.25">
      <c r="V578" s="5"/>
      <c r="W578" s="17"/>
    </row>
    <row r="579" spans="17:23" x14ac:dyDescent="0.25">
      <c r="V579" s="5"/>
      <c r="W579" s="17"/>
    </row>
    <row r="580" spans="17:23" x14ac:dyDescent="0.25">
      <c r="V580" s="5"/>
      <c r="W580" s="17"/>
    </row>
    <row r="581" spans="17:23" x14ac:dyDescent="0.25">
      <c r="V581" s="5"/>
      <c r="W581" s="17"/>
    </row>
    <row r="582" spans="17:23" x14ac:dyDescent="0.25">
      <c r="V582" s="5"/>
      <c r="W582" s="17"/>
    </row>
    <row r="583" spans="17:23" x14ac:dyDescent="0.25">
      <c r="V583" s="5"/>
      <c r="W583" s="17"/>
    </row>
    <row r="584" spans="17:23" x14ac:dyDescent="0.25">
      <c r="V584" s="5"/>
      <c r="W584" s="17"/>
    </row>
    <row r="585" spans="17:23" x14ac:dyDescent="0.25">
      <c r="V585" s="5"/>
      <c r="W585" s="17"/>
    </row>
    <row r="586" spans="17:23" x14ac:dyDescent="0.25">
      <c r="V586" s="5"/>
      <c r="W586" s="17"/>
    </row>
    <row r="587" spans="17:23" x14ac:dyDescent="0.25">
      <c r="V587" s="5"/>
      <c r="W587" s="17"/>
    </row>
    <row r="588" spans="17:23" x14ac:dyDescent="0.25">
      <c r="V588" s="5"/>
      <c r="W588" s="17"/>
    </row>
    <row r="589" spans="17:23" x14ac:dyDescent="0.25">
      <c r="V589" s="5"/>
      <c r="W589" s="17"/>
    </row>
    <row r="590" spans="17:23" x14ac:dyDescent="0.25">
      <c r="V590" s="5"/>
      <c r="W590" s="17"/>
    </row>
    <row r="591" spans="17:23" x14ac:dyDescent="0.25">
      <c r="V591" s="5"/>
      <c r="W591" s="17"/>
    </row>
    <row r="592" spans="17:23" x14ac:dyDescent="0.25">
      <c r="Q592" s="9"/>
      <c r="V592" s="5"/>
      <c r="W592" s="17"/>
    </row>
    <row r="593" spans="17:23" x14ac:dyDescent="0.25">
      <c r="Q593" s="9"/>
      <c r="V593" s="5"/>
      <c r="W593" s="17"/>
    </row>
    <row r="594" spans="17:23" x14ac:dyDescent="0.25">
      <c r="V594" s="5"/>
      <c r="W594" s="17"/>
    </row>
    <row r="595" spans="17:23" x14ac:dyDescent="0.25">
      <c r="V595" s="5"/>
      <c r="W595" s="17"/>
    </row>
    <row r="596" spans="17:23" x14ac:dyDescent="0.25">
      <c r="V596" s="5"/>
      <c r="W596" s="17"/>
    </row>
    <row r="597" spans="17:23" x14ac:dyDescent="0.25">
      <c r="V597" s="5"/>
      <c r="W597" s="17"/>
    </row>
    <row r="598" spans="17:23" x14ac:dyDescent="0.25">
      <c r="V598" s="5"/>
      <c r="W598" s="17"/>
    </row>
    <row r="599" spans="17:23" x14ac:dyDescent="0.25">
      <c r="V599" s="5"/>
      <c r="W599" s="17"/>
    </row>
    <row r="600" spans="17:23" x14ac:dyDescent="0.25">
      <c r="V600" s="5"/>
      <c r="W600" s="17"/>
    </row>
    <row r="601" spans="17:23" x14ac:dyDescent="0.25">
      <c r="V601" s="5"/>
      <c r="W601" s="17"/>
    </row>
    <row r="602" spans="17:23" x14ac:dyDescent="0.25">
      <c r="V602" s="5"/>
      <c r="W602" s="17"/>
    </row>
    <row r="603" spans="17:23" x14ac:dyDescent="0.25">
      <c r="V603" s="5"/>
      <c r="W603" s="17"/>
    </row>
    <row r="604" spans="17:23" x14ac:dyDescent="0.25">
      <c r="V604" s="5"/>
      <c r="W604" s="17"/>
    </row>
    <row r="605" spans="17:23" x14ac:dyDescent="0.25">
      <c r="V605" s="5"/>
      <c r="W605" s="17"/>
    </row>
    <row r="606" spans="17:23" x14ac:dyDescent="0.25">
      <c r="V606" s="5"/>
      <c r="W606" s="17"/>
    </row>
    <row r="607" spans="17:23" x14ac:dyDescent="0.25">
      <c r="V607" s="5"/>
      <c r="W607" s="17"/>
    </row>
    <row r="608" spans="17:23" x14ac:dyDescent="0.25">
      <c r="V608" s="5"/>
      <c r="W608" s="17"/>
    </row>
    <row r="609" spans="22:23" x14ac:dyDescent="0.25">
      <c r="V609" s="5"/>
      <c r="W609" s="17"/>
    </row>
    <row r="610" spans="22:23" x14ac:dyDescent="0.25">
      <c r="V610" s="5"/>
      <c r="W610" s="17"/>
    </row>
    <row r="611" spans="22:23" x14ac:dyDescent="0.25">
      <c r="V611" s="5"/>
      <c r="W611" s="17"/>
    </row>
    <row r="612" spans="22:23" x14ac:dyDescent="0.25">
      <c r="V612" s="5"/>
      <c r="W612" s="17"/>
    </row>
    <row r="613" spans="22:23" x14ac:dyDescent="0.25">
      <c r="V613" s="5"/>
      <c r="W613" s="17"/>
    </row>
    <row r="614" spans="22:23" x14ac:dyDescent="0.25">
      <c r="V614" s="5"/>
      <c r="W614" s="17"/>
    </row>
    <row r="615" spans="22:23" x14ac:dyDescent="0.25">
      <c r="V615" s="5"/>
      <c r="W615" s="17"/>
    </row>
    <row r="616" spans="22:23" x14ac:dyDescent="0.25">
      <c r="V616" s="5"/>
      <c r="W616" s="17"/>
    </row>
    <row r="617" spans="22:23" x14ac:dyDescent="0.25">
      <c r="V617" s="5"/>
      <c r="W617" s="17"/>
    </row>
    <row r="618" spans="22:23" x14ac:dyDescent="0.25">
      <c r="V618" s="5"/>
      <c r="W618" s="17"/>
    </row>
    <row r="619" spans="22:23" x14ac:dyDescent="0.25">
      <c r="V619" s="5"/>
      <c r="W619" s="17"/>
    </row>
    <row r="620" spans="22:23" x14ac:dyDescent="0.25">
      <c r="V620" s="5"/>
      <c r="W620" s="17"/>
    </row>
    <row r="621" spans="22:23" x14ac:dyDescent="0.25">
      <c r="V621" s="5"/>
      <c r="W621" s="17"/>
    </row>
    <row r="622" spans="22:23" x14ac:dyDescent="0.25">
      <c r="V622" s="5"/>
      <c r="W622" s="17"/>
    </row>
    <row r="623" spans="22:23" x14ac:dyDescent="0.25">
      <c r="V623" s="5"/>
      <c r="W623" s="17"/>
    </row>
    <row r="624" spans="22:23" x14ac:dyDescent="0.25">
      <c r="V624" s="5"/>
      <c r="W624" s="17"/>
    </row>
    <row r="625" spans="22:23" x14ac:dyDescent="0.25">
      <c r="V625" s="5"/>
      <c r="W625" s="17"/>
    </row>
    <row r="626" spans="22:23" x14ac:dyDescent="0.25">
      <c r="V626" s="5"/>
      <c r="W626" s="17"/>
    </row>
    <row r="627" spans="22:23" x14ac:dyDescent="0.25">
      <c r="V627" s="5"/>
      <c r="W627" s="17"/>
    </row>
    <row r="628" spans="22:23" x14ac:dyDescent="0.25">
      <c r="V628" s="5"/>
      <c r="W628" s="17"/>
    </row>
    <row r="629" spans="22:23" x14ac:dyDescent="0.25">
      <c r="V629" s="5"/>
      <c r="W629" s="17"/>
    </row>
    <row r="630" spans="22:23" x14ac:dyDescent="0.25">
      <c r="V630" s="5"/>
      <c r="W630" s="17"/>
    </row>
    <row r="631" spans="22:23" x14ac:dyDescent="0.25">
      <c r="V631" s="5"/>
      <c r="W631" s="17"/>
    </row>
    <row r="632" spans="22:23" x14ac:dyDescent="0.25">
      <c r="V632" s="5"/>
      <c r="W632" s="17"/>
    </row>
    <row r="633" spans="22:23" x14ac:dyDescent="0.25">
      <c r="V633" s="5"/>
      <c r="W633" s="17"/>
    </row>
    <row r="634" spans="22:23" x14ac:dyDescent="0.25">
      <c r="V634" s="5"/>
      <c r="W634" s="17"/>
    </row>
    <row r="635" spans="22:23" x14ac:dyDescent="0.25">
      <c r="V635" s="5"/>
      <c r="W635" s="17"/>
    </row>
    <row r="636" spans="22:23" x14ac:dyDescent="0.25">
      <c r="V636" s="5"/>
      <c r="W636" s="17"/>
    </row>
    <row r="637" spans="22:23" x14ac:dyDescent="0.25">
      <c r="V637" s="5"/>
      <c r="W637" s="17"/>
    </row>
    <row r="638" spans="22:23" x14ac:dyDescent="0.25">
      <c r="V638" s="5"/>
      <c r="W638" s="17"/>
    </row>
    <row r="639" spans="22:23" x14ac:dyDescent="0.25">
      <c r="V639" s="5"/>
      <c r="W639" s="17"/>
    </row>
    <row r="640" spans="22:23" x14ac:dyDescent="0.25">
      <c r="V640" s="5"/>
      <c r="W640" s="17"/>
    </row>
    <row r="641" spans="22:23" x14ac:dyDescent="0.25">
      <c r="V641" s="5"/>
      <c r="W641" s="17"/>
    </row>
    <row r="642" spans="22:23" x14ac:dyDescent="0.25">
      <c r="V642" s="5"/>
      <c r="W642" s="17"/>
    </row>
    <row r="643" spans="22:23" x14ac:dyDescent="0.25">
      <c r="V643" s="5"/>
      <c r="W643" s="17"/>
    </row>
    <row r="644" spans="22:23" x14ac:dyDescent="0.25">
      <c r="V644" s="5"/>
      <c r="W644" s="17"/>
    </row>
    <row r="645" spans="22:23" x14ac:dyDescent="0.25">
      <c r="V645" s="5"/>
      <c r="W645" s="17"/>
    </row>
    <row r="646" spans="22:23" x14ac:dyDescent="0.25">
      <c r="V646" s="5"/>
      <c r="W646" s="17"/>
    </row>
    <row r="647" spans="22:23" x14ac:dyDescent="0.25">
      <c r="V647" s="5"/>
      <c r="W647" s="17"/>
    </row>
    <row r="648" spans="22:23" x14ac:dyDescent="0.25">
      <c r="V648" s="5"/>
      <c r="W648" s="17"/>
    </row>
    <row r="649" spans="22:23" x14ac:dyDescent="0.25">
      <c r="V649" s="5"/>
      <c r="W649" s="17"/>
    </row>
    <row r="650" spans="22:23" x14ac:dyDescent="0.25">
      <c r="V650" s="5"/>
      <c r="W650" s="17"/>
    </row>
    <row r="651" spans="22:23" x14ac:dyDescent="0.25">
      <c r="V651" s="5"/>
      <c r="W651" s="17"/>
    </row>
    <row r="652" spans="22:23" x14ac:dyDescent="0.25">
      <c r="V652" s="5"/>
      <c r="W652" s="17"/>
    </row>
    <row r="653" spans="22:23" x14ac:dyDescent="0.25">
      <c r="V653" s="5"/>
      <c r="W653" s="17"/>
    </row>
    <row r="654" spans="22:23" x14ac:dyDescent="0.25">
      <c r="V654" s="5"/>
      <c r="W654" s="17"/>
    </row>
    <row r="655" spans="22:23" x14ac:dyDescent="0.25">
      <c r="V655" s="5"/>
      <c r="W655" s="17"/>
    </row>
    <row r="656" spans="22:23" x14ac:dyDescent="0.25">
      <c r="V656" s="5"/>
      <c r="W656" s="17"/>
    </row>
    <row r="657" spans="22:23" x14ac:dyDescent="0.25">
      <c r="V657" s="5"/>
      <c r="W657" s="17"/>
    </row>
    <row r="658" spans="22:23" x14ac:dyDescent="0.25">
      <c r="V658" s="5"/>
      <c r="W658" s="17"/>
    </row>
    <row r="659" spans="22:23" x14ac:dyDescent="0.25">
      <c r="V659" s="5"/>
      <c r="W659" s="17"/>
    </row>
    <row r="660" spans="22:23" x14ac:dyDescent="0.25">
      <c r="V660" s="5"/>
      <c r="W660" s="17"/>
    </row>
    <row r="661" spans="22:23" x14ac:dyDescent="0.25">
      <c r="V661" s="5"/>
      <c r="W661" s="17"/>
    </row>
    <row r="662" spans="22:23" x14ac:dyDescent="0.25">
      <c r="V662" s="5"/>
      <c r="W662" s="17"/>
    </row>
    <row r="663" spans="22:23" x14ac:dyDescent="0.25">
      <c r="V663" s="5"/>
      <c r="W663" s="17"/>
    </row>
    <row r="664" spans="22:23" x14ac:dyDescent="0.25">
      <c r="V664" s="5"/>
      <c r="W664" s="17"/>
    </row>
    <row r="665" spans="22:23" x14ac:dyDescent="0.25">
      <c r="V665" s="5"/>
      <c r="W665" s="17"/>
    </row>
    <row r="666" spans="22:23" x14ac:dyDescent="0.25">
      <c r="V666" s="5"/>
      <c r="W666" s="17"/>
    </row>
    <row r="667" spans="22:23" x14ac:dyDescent="0.25">
      <c r="V667" s="5"/>
      <c r="W667" s="17"/>
    </row>
    <row r="668" spans="22:23" x14ac:dyDescent="0.25">
      <c r="V668" s="5"/>
      <c r="W668" s="17"/>
    </row>
    <row r="669" spans="22:23" x14ac:dyDescent="0.25">
      <c r="V669" s="5"/>
      <c r="W669" s="17"/>
    </row>
    <row r="670" spans="22:23" x14ac:dyDescent="0.25">
      <c r="V670" s="5"/>
      <c r="W670" s="17"/>
    </row>
    <row r="671" spans="22:23" x14ac:dyDescent="0.25">
      <c r="V671" s="5"/>
      <c r="W671" s="17"/>
    </row>
    <row r="672" spans="22:23" x14ac:dyDescent="0.25">
      <c r="V672" s="5"/>
      <c r="W672" s="17"/>
    </row>
    <row r="673" spans="22:23" x14ac:dyDescent="0.25">
      <c r="V673" s="5"/>
      <c r="W673" s="17"/>
    </row>
    <row r="674" spans="22:23" x14ac:dyDescent="0.25">
      <c r="V674" s="5"/>
      <c r="W674" s="17"/>
    </row>
    <row r="675" spans="22:23" x14ac:dyDescent="0.25">
      <c r="V675" s="5"/>
      <c r="W675" s="17"/>
    </row>
    <row r="676" spans="22:23" x14ac:dyDescent="0.25">
      <c r="V676" s="5"/>
      <c r="W676" s="17"/>
    </row>
    <row r="677" spans="22:23" x14ac:dyDescent="0.25">
      <c r="V677" s="5"/>
      <c r="W677" s="17"/>
    </row>
    <row r="678" spans="22:23" x14ac:dyDescent="0.25">
      <c r="V678" s="5"/>
      <c r="W678" s="17"/>
    </row>
    <row r="679" spans="22:23" x14ac:dyDescent="0.25">
      <c r="V679" s="5"/>
      <c r="W679" s="17"/>
    </row>
    <row r="680" spans="22:23" x14ac:dyDescent="0.25">
      <c r="V680" s="5"/>
      <c r="W680" s="17"/>
    </row>
    <row r="681" spans="22:23" x14ac:dyDescent="0.25">
      <c r="V681" s="5"/>
      <c r="W681" s="17"/>
    </row>
    <row r="682" spans="22:23" x14ac:dyDescent="0.25">
      <c r="V682" s="5"/>
      <c r="W682" s="17"/>
    </row>
    <row r="683" spans="22:23" x14ac:dyDescent="0.25">
      <c r="V683" s="5"/>
      <c r="W683" s="17"/>
    </row>
    <row r="684" spans="22:23" x14ac:dyDescent="0.25">
      <c r="V684" s="5"/>
      <c r="W684" s="17"/>
    </row>
    <row r="685" spans="22:23" x14ac:dyDescent="0.25">
      <c r="V685" s="5"/>
      <c r="W685" s="17"/>
    </row>
    <row r="686" spans="22:23" x14ac:dyDescent="0.25">
      <c r="V686" s="5"/>
      <c r="W686" s="17"/>
    </row>
    <row r="687" spans="22:23" x14ac:dyDescent="0.25">
      <c r="V687" s="5"/>
      <c r="W687" s="17"/>
    </row>
    <row r="688" spans="22:23" x14ac:dyDescent="0.25">
      <c r="V688" s="5"/>
      <c r="W688" s="17"/>
    </row>
    <row r="689" spans="22:23" x14ac:dyDescent="0.25">
      <c r="V689" s="5"/>
      <c r="W689" s="17"/>
    </row>
    <row r="690" spans="22:23" x14ac:dyDescent="0.25">
      <c r="V690" s="5"/>
      <c r="W690" s="17"/>
    </row>
    <row r="691" spans="22:23" x14ac:dyDescent="0.25">
      <c r="V691" s="5"/>
      <c r="W691" s="17"/>
    </row>
    <row r="692" spans="22:23" x14ac:dyDescent="0.25">
      <c r="V692" s="5"/>
      <c r="W692" s="17"/>
    </row>
    <row r="693" spans="22:23" x14ac:dyDescent="0.25">
      <c r="V693" s="5"/>
      <c r="W693" s="17"/>
    </row>
    <row r="694" spans="22:23" x14ac:dyDescent="0.25">
      <c r="V694" s="5"/>
      <c r="W694" s="17"/>
    </row>
    <row r="695" spans="22:23" x14ac:dyDescent="0.25">
      <c r="V695" s="5"/>
      <c r="W695" s="17"/>
    </row>
    <row r="696" spans="22:23" x14ac:dyDescent="0.25">
      <c r="V696" s="5"/>
      <c r="W696" s="17"/>
    </row>
    <row r="697" spans="22:23" x14ac:dyDescent="0.25">
      <c r="V697" s="5"/>
      <c r="W697" s="17"/>
    </row>
    <row r="698" spans="22:23" x14ac:dyDescent="0.25">
      <c r="V698" s="5"/>
      <c r="W698" s="17"/>
    </row>
    <row r="699" spans="22:23" x14ac:dyDescent="0.25">
      <c r="V699" s="5"/>
      <c r="W699" s="17"/>
    </row>
    <row r="700" spans="22:23" x14ac:dyDescent="0.25">
      <c r="V700" s="5"/>
      <c r="W700" s="17"/>
    </row>
    <row r="701" spans="22:23" x14ac:dyDescent="0.25">
      <c r="V701" s="5"/>
      <c r="W701" s="17"/>
    </row>
    <row r="702" spans="22:23" x14ac:dyDescent="0.25">
      <c r="V702" s="5"/>
      <c r="W702" s="17"/>
    </row>
    <row r="703" spans="22:23" x14ac:dyDescent="0.25">
      <c r="V703" s="5"/>
      <c r="W703" s="17"/>
    </row>
    <row r="704" spans="22:23" x14ac:dyDescent="0.25">
      <c r="V704" s="5"/>
      <c r="W704" s="17"/>
    </row>
  </sheetData>
  <mergeCells count="1">
    <mergeCell ref="A2:E2"/>
  </mergeCells>
  <phoneticPr fontId="5" type="noConversion"/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7E00A143441D4CBFD74C018F501BC8" ma:contentTypeVersion="11" ma:contentTypeDescription="Crée un document." ma:contentTypeScope="" ma:versionID="21196a97e4be9ff8942a8cb204720f6d">
  <xsd:schema xmlns:xsd="http://www.w3.org/2001/XMLSchema" xmlns:xs="http://www.w3.org/2001/XMLSchema" xmlns:p="http://schemas.microsoft.com/office/2006/metadata/properties" xmlns:ns2="6a14172e-06b8-474c-8185-64d0d74ac9cb" xmlns:ns3="db813546-1a50-4091-8dd0-689db4e3209c" targetNamespace="http://schemas.microsoft.com/office/2006/metadata/properties" ma:root="true" ma:fieldsID="285157cfb01c7986923e3b78200f5e10" ns2:_="" ns3:_="">
    <xsd:import namespace="6a14172e-06b8-474c-8185-64d0d74ac9cb"/>
    <xsd:import namespace="db813546-1a50-4091-8dd0-689db4e320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14172e-06b8-474c-8185-64d0d74ac9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4434ded7-6e41-4000-8be6-3d063d771b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813546-1a50-4091-8dd0-689db4e3209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1d0e1449-3613-49be-8861-012b877b8962}" ma:internalName="TaxCatchAll" ma:showField="CatchAllData" ma:web="db813546-1a50-4091-8dd0-689db4e320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8134398-A108-4C6A-977D-D1AC749A6D9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49520C9-203D-4923-92D4-FDC8DBADAB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14172e-06b8-474c-8185-64d0d74ac9cb"/>
    <ds:schemaRef ds:uri="db813546-1a50-4091-8dd0-689db4e320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N2O</vt:lpstr>
      <vt:lpstr>CH4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Christel Hassler</cp:lastModifiedBy>
  <cp:revision/>
  <dcterms:created xsi:type="dcterms:W3CDTF">2022-11-23T13:51:27Z</dcterms:created>
  <dcterms:modified xsi:type="dcterms:W3CDTF">2025-11-06T07:52:32Z</dcterms:modified>
  <cp:category/>
  <cp:contentStatus/>
</cp:coreProperties>
</file>